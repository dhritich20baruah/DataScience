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Webpage\DataScience\"/>
    </mc:Choice>
  </mc:AlternateContent>
  <xr:revisionPtr revIDLastSave="0" documentId="13_ncr:1_{D7956B84-31AA-48C8-9356-8B6C24E73CA1}" xr6:coauthVersionLast="47" xr6:coauthVersionMax="47" xr10:uidLastSave="{00000000-0000-0000-0000-000000000000}"/>
  <bookViews>
    <workbookView xWindow="-120" yWindow="-120" windowWidth="20730" windowHeight="11160" activeTab="1" xr2:uid="{00000000-000D-0000-FFFF-FFFF00000000}"/>
  </bookViews>
  <sheets>
    <sheet name="Sheet1" sheetId="1" r:id="rId1"/>
    <sheet name="Sheet3" sheetId="3" r:id="rId2"/>
    <sheet name="Sheet2" sheetId="2" r:id="rId3"/>
  </sheets>
  <definedNames>
    <definedName name="Slicer_Date">#N/A</definedName>
    <definedName name="Subcategories">Categories[Subcategory]</definedName>
  </definedNames>
  <calcPr calcId="191029"/>
  <pivotCaches>
    <pivotCache cacheId="32"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alcChain>
</file>

<file path=xl/sharedStrings.xml><?xml version="1.0" encoding="utf-8"?>
<sst xmlns="http://schemas.openxmlformats.org/spreadsheetml/2006/main" count="271" uniqueCount="85">
  <si>
    <t>Category</t>
  </si>
  <si>
    <t>Subcategory</t>
  </si>
  <si>
    <t>Charity</t>
  </si>
  <si>
    <t>Debt Repayment</t>
  </si>
  <si>
    <t>Dining Out</t>
  </si>
  <si>
    <t>Discretionary</t>
  </si>
  <si>
    <t>Fixed</t>
  </si>
  <si>
    <t>Living Expenses</t>
  </si>
  <si>
    <t>Medical</t>
  </si>
  <si>
    <t>Transfer</t>
  </si>
  <si>
    <t>Transport</t>
  </si>
  <si>
    <t>Variable</t>
  </si>
  <si>
    <t>Donation</t>
  </si>
  <si>
    <t>Interest Charge</t>
  </si>
  <si>
    <t>Loan Repayment</t>
  </si>
  <si>
    <t>Coffee</t>
  </si>
  <si>
    <t>Food delivery</t>
  </si>
  <si>
    <t>Clothes</t>
  </si>
  <si>
    <t>Entertainment</t>
  </si>
  <si>
    <t>Furnishings</t>
  </si>
  <si>
    <t>Gifts</t>
  </si>
  <si>
    <t>Gym</t>
  </si>
  <si>
    <t>Salary</t>
  </si>
  <si>
    <t>Gas/Electric</t>
  </si>
  <si>
    <t>Groceries</t>
  </si>
  <si>
    <t>Phone</t>
  </si>
  <si>
    <t>rent</t>
  </si>
  <si>
    <t>Dentist</t>
  </si>
  <si>
    <t>Doctor</t>
  </si>
  <si>
    <t>Bank Transfer</t>
  </si>
  <si>
    <t>MV Fuel</t>
  </si>
  <si>
    <t>Bus/Train</t>
  </si>
  <si>
    <t>Dividends</t>
  </si>
  <si>
    <t>Interest Earned</t>
  </si>
  <si>
    <t>Side Hustle</t>
  </si>
  <si>
    <t>Expense</t>
  </si>
  <si>
    <t>Income</t>
  </si>
  <si>
    <t>Not Reported</t>
  </si>
  <si>
    <t>Category2</t>
  </si>
  <si>
    <t>Account</t>
  </si>
  <si>
    <t>Date</t>
  </si>
  <si>
    <t>Description</t>
  </si>
  <si>
    <t>Debit (Spend)</t>
  </si>
  <si>
    <t>Credit (Income)</t>
  </si>
  <si>
    <t>Income/(Expense)</t>
  </si>
  <si>
    <t>Category Type</t>
  </si>
  <si>
    <t>Saving</t>
  </si>
  <si>
    <t>Interest</t>
  </si>
  <si>
    <t>Checking</t>
  </si>
  <si>
    <t>Transfer to Savings</t>
  </si>
  <si>
    <t>ACME Pty Ltd</t>
  </si>
  <si>
    <t>Credit</t>
  </si>
  <si>
    <t>Ground</t>
  </si>
  <si>
    <t>Estate Mgt.</t>
  </si>
  <si>
    <t>Finance Co.</t>
  </si>
  <si>
    <t>Green's</t>
  </si>
  <si>
    <t>Elec. Co.</t>
  </si>
  <si>
    <t>13/01/2025</t>
  </si>
  <si>
    <t>Fuel. Co</t>
  </si>
  <si>
    <t>14/01/2025</t>
  </si>
  <si>
    <t>15/01/2025</t>
  </si>
  <si>
    <t>16/01/2025</t>
  </si>
  <si>
    <t>Event Cinemas</t>
  </si>
  <si>
    <t>17/01/2025</t>
  </si>
  <si>
    <t>Water Bill</t>
  </si>
  <si>
    <t>18/01/2025</t>
  </si>
  <si>
    <t>Salary Payment</t>
  </si>
  <si>
    <t>19/01/2025</t>
  </si>
  <si>
    <t>Coffee Shop</t>
  </si>
  <si>
    <t>Amazon Purchase</t>
  </si>
  <si>
    <t>20/01/2025</t>
  </si>
  <si>
    <t>Dividend Payment</t>
  </si>
  <si>
    <t>21/01/2025</t>
  </si>
  <si>
    <t>Gym Membership</t>
  </si>
  <si>
    <t>22/01/2025</t>
  </si>
  <si>
    <t>Restaurant Dinner</t>
  </si>
  <si>
    <t>25/01/2025</t>
  </si>
  <si>
    <t>Monthly Rent Payment</t>
  </si>
  <si>
    <t>28/01/2025</t>
  </si>
  <si>
    <t>Bonus Transfer</t>
  </si>
  <si>
    <t>Grand Total</t>
  </si>
  <si>
    <t>Sum of Income/(Expense)2</t>
  </si>
  <si>
    <t>% of Total</t>
  </si>
  <si>
    <t>(Multiple Items)</t>
  </si>
  <si>
    <t>Net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</si>
</sst>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3">
    <xf numFmtId="0" fontId="0" fillId="0" borderId="0" xfId="0"/>
    <xf numFmtId="0" fontId="0" fillId="0" borderId="1" xfId="0" applyBorder="1"/>
    <xf numFmtId="14" fontId="0" fillId="0" borderId="0" xfId="0" applyNumberFormat="1"/>
    <xf numFmtId="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4" fontId="0" fillId="0" borderId="0" xfId="0" applyNumberFormat="1"/>
    <xf numFmtId="10" fontId="0" fillId="0" borderId="0" xfId="0" applyNumberFormat="1"/>
    <xf numFmtId="0" fontId="0" fillId="0" borderId="0" xfId="0" applyAlignment="1">
      <alignment horizontal="right"/>
    </xf>
    <xf numFmtId="14" fontId="0" fillId="0" borderId="0" xfId="0" applyNumberFormat="1" applyAlignment="1">
      <alignment horizontal="left"/>
    </xf>
    <xf numFmtId="0" fontId="1" fillId="0" borderId="0" xfId="0" applyFont="1" applyAlignment="1">
      <alignment horizontal="right"/>
    </xf>
  </cellXfs>
  <cellStyles count="1">
    <cellStyle name="Normal" xfId="0" builtinId="0"/>
  </cellStyles>
  <dxfs count="130">
    <dxf>
      <numFmt numFmtId="164" formatCode=";;;"/>
    </dxf>
    <dxf>
      <numFmt numFmtId="164" formatCode=";;;"/>
    </dxf>
    <dxf>
      <alignment horizontal="right"/>
    </dxf>
    <dxf>
      <numFmt numFmtId="164" formatCode=";;;"/>
    </dxf>
    <dxf>
      <numFmt numFmtId="164" formatCode=";;;"/>
    </dxf>
    <dxf>
      <numFmt numFmtId="14" formatCode="0.00%"/>
    </dxf>
    <dxf>
      <alignment horizontal="right"/>
    </dxf>
    <dxf>
      <alignment horizontal="right"/>
    </dxf>
    <dxf>
      <numFmt numFmtId="164" formatCode=";;;"/>
    </dxf>
    <dxf>
      <numFmt numFmtId="164" formatCode=";;;"/>
    </dxf>
    <dxf>
      <numFmt numFmtId="14" formatCode="0.00%"/>
    </dxf>
    <dxf>
      <alignment horizontal="right"/>
    </dxf>
    <dxf>
      <alignment horizontal="right"/>
    </dxf>
    <dxf>
      <numFmt numFmtId="164" formatCode=";;;"/>
    </dxf>
    <dxf>
      <numFmt numFmtId="164" formatCode=";;;"/>
    </dxf>
    <dxf>
      <alignment horizontal="right"/>
    </dxf>
    <dxf>
      <numFmt numFmtId="164" formatCode=";;;"/>
    </dxf>
    <dxf>
      <numFmt numFmtId="164" formatCode=";;;"/>
    </dxf>
    <dxf>
      <alignment horizontal="right"/>
    </dxf>
    <dxf>
      <font>
        <b/>
      </font>
    </dxf>
    <dxf>
      <numFmt numFmtId="164" formatCode=";;;"/>
    </dxf>
    <dxf>
      <numFmt numFmtId="164" formatCode=";;;"/>
    </dxf>
    <dxf>
      <alignment horizontal="right"/>
    </dxf>
    <dxf>
      <font>
        <b/>
      </font>
    </dxf>
    <dxf>
      <numFmt numFmtId="164" formatCode=";;;"/>
    </dxf>
    <dxf>
      <numFmt numFmtId="164" formatCode=";;;"/>
    </dxf>
    <dxf>
      <alignment horizontal="right"/>
    </dxf>
    <dxf>
      <font>
        <b/>
      </font>
    </dxf>
    <dxf>
      <font>
        <b/>
      </font>
    </dxf>
    <dxf>
      <font>
        <b/>
      </font>
    </dxf>
    <dxf>
      <numFmt numFmtId="164" formatCode=";;;"/>
    </dxf>
    <dxf>
      <numFmt numFmtId="164" formatCode=";;;"/>
    </dxf>
    <dxf>
      <alignment horizontal="right"/>
    </dxf>
    <dxf>
      <numFmt numFmtId="164" formatCode=";;;"/>
    </dxf>
    <dxf>
      <numFmt numFmtId="164" formatCode=";;;"/>
    </dxf>
    <dxf>
      <alignment horizontal="right"/>
    </dxf>
    <dxf>
      <numFmt numFmtId="164" formatCode=";;;"/>
    </dxf>
    <dxf>
      <numFmt numFmtId="164" formatCode=";;;"/>
    </dxf>
    <dxf>
      <alignment horizontal="right"/>
    </dxf>
    <dxf>
      <numFmt numFmtId="164" formatCode=";;;"/>
    </dxf>
    <dxf>
      <numFmt numFmtId="164" formatCode=";;;"/>
    </dxf>
    <dxf>
      <alignment horizontal="right"/>
    </dxf>
    <dxf>
      <numFmt numFmtId="164" formatCode=";;;"/>
    </dxf>
    <dxf>
      <numFmt numFmtId="164" formatCode=";;;"/>
    </dxf>
    <dxf>
      <alignment horizontal="right"/>
    </dxf>
    <dxf>
      <numFmt numFmtId="164" formatCode=";;;"/>
    </dxf>
    <dxf>
      <numFmt numFmtId="164" formatCode=";;;"/>
    </dxf>
    <dxf>
      <alignment horizontal="right"/>
    </dxf>
    <dxf>
      <numFmt numFmtId="164" formatCode=";;;"/>
    </dxf>
    <dxf>
      <numFmt numFmtId="164" formatCode=";;;"/>
    </dxf>
    <dxf>
      <alignment horizontal="right"/>
    </dxf>
    <dxf>
      <numFmt numFmtId="164" formatCode=";;;"/>
    </dxf>
    <dxf>
      <numFmt numFmtId="164" formatCode=";;;"/>
    </dxf>
    <dxf>
      <alignment horizontal="right"/>
    </dxf>
    <dxf>
      <numFmt numFmtId="164" formatCode=";;;"/>
    </dxf>
    <dxf>
      <numFmt numFmtId="164" formatCode=";;;"/>
    </dxf>
    <dxf>
      <alignment horizontal="right"/>
    </dxf>
    <dxf>
      <numFmt numFmtId="164" formatCode=";;;"/>
    </dxf>
    <dxf>
      <numFmt numFmtId="164" formatCode=";;;"/>
    </dxf>
    <dxf>
      <numFmt numFmtId="14" formatCode="0.00%"/>
    </dxf>
    <dxf>
      <alignment horizontal="right"/>
    </dxf>
    <dxf>
      <alignment horizontal="right"/>
    </dxf>
    <dxf>
      <numFmt numFmtId="164" formatCode=";;;"/>
    </dxf>
    <dxf>
      <numFmt numFmtId="164" formatCode=";;;"/>
    </dxf>
    <dxf>
      <numFmt numFmtId="14" formatCode="0.00%"/>
    </dxf>
    <dxf>
      <alignment horizontal="right"/>
    </dxf>
    <dxf>
      <alignment horizontal="right"/>
    </dxf>
    <dxf>
      <numFmt numFmtId="164" formatCode=";;;"/>
    </dxf>
    <dxf>
      <numFmt numFmtId="164" formatCode=";;;"/>
    </dxf>
    <dxf>
      <numFmt numFmtId="14" formatCode="0.00%"/>
    </dxf>
    <dxf>
      <alignment horizontal="right"/>
    </dxf>
    <dxf>
      <alignment horizontal="right"/>
    </dxf>
    <dxf>
      <numFmt numFmtId="164" formatCode=";;;"/>
    </dxf>
    <dxf>
      <numFmt numFmtId="164" formatCode=";;;"/>
    </dxf>
    <dxf>
      <numFmt numFmtId="14" formatCode="0.00%"/>
    </dxf>
    <dxf>
      <alignment horizontal="right"/>
    </dxf>
    <dxf>
      <alignment horizontal="right"/>
    </dxf>
    <dxf>
      <numFmt numFmtId="164" formatCode=";;;"/>
    </dxf>
    <dxf>
      <numFmt numFmtId="164" formatCode=";;;"/>
    </dxf>
    <dxf>
      <numFmt numFmtId="14" formatCode="0.00%"/>
    </dxf>
    <dxf>
      <alignment horizontal="right"/>
    </dxf>
    <dxf>
      <alignment horizontal="right"/>
    </dxf>
    <dxf>
      <numFmt numFmtId="164" formatCode=";;;"/>
    </dxf>
    <dxf>
      <numFmt numFmtId="164" formatCode=";;;"/>
    </dxf>
    <dxf>
      <numFmt numFmtId="14" formatCode="0.00%"/>
    </dxf>
    <dxf>
      <alignment horizontal="right"/>
    </dxf>
    <dxf>
      <alignment horizontal="right"/>
    </dxf>
    <dxf>
      <alignment horizontal="general"/>
    </dxf>
    <dxf>
      <alignment horizontal="right"/>
    </dxf>
    <dxf>
      <alignment horizontal="right"/>
    </dxf>
    <dxf>
      <alignment horizontal="right"/>
    </dxf>
    <dxf>
      <alignment horizontal="right"/>
    </dxf>
    <dxf>
      <numFmt numFmtId="164" formatCode=";;;"/>
    </dxf>
    <dxf>
      <numFmt numFmtId="164" formatCode=";;;"/>
    </dxf>
    <dxf>
      <numFmt numFmtId="14" formatCode="0.00%"/>
    </dxf>
    <dxf>
      <numFmt numFmtId="14" formatCode="0.00%"/>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0" formatCode="General"/>
    </dxf>
    <dxf>
      <numFmt numFmtId="0" formatCode="General"/>
    </dxf>
    <dxf>
      <numFmt numFmtId="0" formatCode="General"/>
    </dxf>
    <dxf>
      <border outline="0">
        <bottom style="thin">
          <color indexed="64"/>
        </bottom>
      </border>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0</xdr:col>
      <xdr:colOff>535781</xdr:colOff>
      <xdr:row>2</xdr:row>
      <xdr:rowOff>166687</xdr:rowOff>
    </xdr:from>
    <xdr:to>
      <xdr:col>3</xdr:col>
      <xdr:colOff>54768</xdr:colOff>
      <xdr:row>13</xdr:row>
      <xdr:rowOff>73819</xdr:rowOff>
    </xdr:to>
    <mc:AlternateContent xmlns:mc="http://schemas.openxmlformats.org/markup-compatibility/2006">
      <mc:Choice xmlns:a14="http://schemas.microsoft.com/office/drawing/2010/main" Requires="a14">
        <xdr:graphicFrame macro="">
          <xdr:nvGraphicFramePr>
            <xdr:cNvPr id="2" name="Date">
              <a:extLst>
                <a:ext uri="{FF2B5EF4-FFF2-40B4-BE49-F238E27FC236}">
                  <a16:creationId xmlns:a16="http://schemas.microsoft.com/office/drawing/2014/main" id="{48BBE59C-8092-AB93-620E-9BDACD83AE2C}"/>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535781" y="547687"/>
              <a:ext cx="1828800" cy="2002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itiman baruah" refreshedDate="46104.455523726851" createdVersion="8" refreshedVersion="8" minRefreshableVersion="3" recordCount="31" xr:uid="{85466D00-573C-4958-BDBA-B650D15BE9FE}">
  <cacheSource type="worksheet">
    <worksheetSource name="Table2"/>
  </cacheSource>
  <cacheFields count="9">
    <cacheField name="Account" numFmtId="0">
      <sharedItems/>
    </cacheField>
    <cacheField name="Date" numFmtId="0">
      <sharedItems containsDate="1" containsMixedTypes="1" minDate="2025-01-01T00:00:00" maxDate="2025-12-02T00:00:00" count="20">
        <d v="2025-01-01T00:00:00"/>
        <d v="2025-04-01T00:00:00"/>
        <d v="2025-05-01T00:00:00"/>
        <d v="2025-06-01T00:00:00"/>
        <d v="2025-07-01T00:00:00"/>
        <d v="2025-08-01T00:00:00"/>
        <d v="2025-11-01T00:00:00"/>
        <d v="2025-12-01T00:00:00"/>
        <s v="13/01/2025"/>
        <s v="14/01/2025"/>
        <s v="15/01/2025"/>
        <s v="16/01/2025"/>
        <s v="17/01/2025"/>
        <s v="18/01/2025"/>
        <s v="19/01/2025"/>
        <s v="20/01/2025"/>
        <s v="21/01/2025"/>
        <s v="22/01/2025"/>
        <s v="25/01/2025"/>
        <s v="28/01/2025"/>
      </sharedItems>
    </cacheField>
    <cacheField name="Description" numFmtId="0">
      <sharedItems/>
    </cacheField>
    <cacheField name="Debit (Spend)" numFmtId="0">
      <sharedItems containsString="0" containsBlank="1" containsNumber="1" minValue="5" maxValue="1200"/>
    </cacheField>
    <cacheField name="Credit (Income)" numFmtId="0">
      <sharedItems containsString="0" containsBlank="1" containsNumber="1" minValue="35" maxValue="4000"/>
    </cacheField>
    <cacheField name="Income/(Expense)" numFmtId="0">
      <sharedItems containsSemiMixedTypes="0" containsString="0" containsNumber="1" minValue="-1200" maxValue="4000"/>
    </cacheField>
    <cacheField name="Subcategory" numFmtId="0">
      <sharedItems count="14">
        <s v="Interest Charge"/>
        <s v="Bank Transfer"/>
        <s v="Side Hustle"/>
        <s v="Salary"/>
        <s v="Coffee"/>
        <s v="rent"/>
        <s v="Loan Repayment"/>
        <s v="Groceries"/>
        <s v="Gas/Electric"/>
        <s v="MV Fuel"/>
        <s v="Entertainment"/>
        <s v="Food delivery"/>
        <s v="Dividends"/>
        <s v="Gym"/>
      </sharedItems>
    </cacheField>
    <cacheField name="Category" numFmtId="0">
      <sharedItems count="8">
        <s v="Debt Repayment"/>
        <s v="Transfer"/>
        <s v="Variable"/>
        <s v="Fixed"/>
        <s v="Dining Out"/>
        <s v="Living Expenses"/>
        <s v="Transport"/>
        <s v="Discretionary"/>
      </sharedItems>
    </cacheField>
    <cacheField name="Category Type" numFmtId="0">
      <sharedItems count="3">
        <s v="Expense"/>
        <s v="Not Reported"/>
        <s v="Income"/>
      </sharedItems>
    </cacheField>
  </cacheFields>
  <extLst>
    <ext xmlns:x14="http://schemas.microsoft.com/office/spreadsheetml/2009/9/main" uri="{725AE2AE-9491-48be-B2B4-4EB974FC3084}">
      <x14:pivotCacheDefinition pivotCacheId="11219346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s v="Saving"/>
    <x v="0"/>
    <s v="Interest"/>
    <m/>
    <n v="35"/>
    <n v="35"/>
    <x v="0"/>
    <x v="0"/>
    <x v="0"/>
  </r>
  <r>
    <s v="Checking"/>
    <x v="0"/>
    <s v="Transfer to Savings"/>
    <n v="100"/>
    <m/>
    <n v="-100"/>
    <x v="1"/>
    <x v="1"/>
    <x v="1"/>
  </r>
  <r>
    <s v="Saving"/>
    <x v="0"/>
    <s v="Side Hustle"/>
    <m/>
    <n v="2057"/>
    <n v="2057"/>
    <x v="2"/>
    <x v="2"/>
    <x v="2"/>
  </r>
  <r>
    <s v="Checking"/>
    <x v="1"/>
    <s v="ACME Pty Ltd"/>
    <m/>
    <n v="4000"/>
    <n v="4000"/>
    <x v="3"/>
    <x v="3"/>
    <x v="2"/>
  </r>
  <r>
    <s v="Credit"/>
    <x v="1"/>
    <s v="Ground"/>
    <n v="5"/>
    <m/>
    <n v="-5"/>
    <x v="4"/>
    <x v="4"/>
    <x v="0"/>
  </r>
  <r>
    <s v="Checking"/>
    <x v="2"/>
    <s v="Estate Mgt."/>
    <n v="900"/>
    <m/>
    <n v="-900"/>
    <x v="5"/>
    <x v="5"/>
    <x v="0"/>
  </r>
  <r>
    <s v="Checking"/>
    <x v="2"/>
    <s v="Finance Co."/>
    <n v="150"/>
    <m/>
    <n v="-150"/>
    <x v="6"/>
    <x v="0"/>
    <x v="0"/>
  </r>
  <r>
    <s v="Credit"/>
    <x v="2"/>
    <s v="Ground"/>
    <n v="5"/>
    <m/>
    <n v="-5"/>
    <x v="4"/>
    <x v="4"/>
    <x v="0"/>
  </r>
  <r>
    <s v="Credit"/>
    <x v="3"/>
    <s v="Ground"/>
    <n v="5"/>
    <m/>
    <n v="-5"/>
    <x v="4"/>
    <x v="4"/>
    <x v="0"/>
  </r>
  <r>
    <s v="Credit"/>
    <x v="4"/>
    <s v="Ground"/>
    <n v="5"/>
    <m/>
    <n v="-5"/>
    <x v="4"/>
    <x v="4"/>
    <x v="0"/>
  </r>
  <r>
    <s v="Credit"/>
    <x v="5"/>
    <s v="Ground"/>
    <n v="5"/>
    <m/>
    <n v="-5"/>
    <x v="4"/>
    <x v="4"/>
    <x v="0"/>
  </r>
  <r>
    <s v="Credit"/>
    <x v="5"/>
    <s v="Green's"/>
    <n v="155"/>
    <m/>
    <n v="-155"/>
    <x v="7"/>
    <x v="5"/>
    <x v="0"/>
  </r>
  <r>
    <s v="Checking"/>
    <x v="6"/>
    <s v="Elec. Co."/>
    <m/>
    <n v="100"/>
    <n v="100"/>
    <x v="8"/>
    <x v="5"/>
    <x v="0"/>
  </r>
  <r>
    <s v="Credit"/>
    <x v="6"/>
    <s v="Ground"/>
    <n v="5"/>
    <m/>
    <n v="-5"/>
    <x v="4"/>
    <x v="4"/>
    <x v="0"/>
  </r>
  <r>
    <s v="Credit"/>
    <x v="7"/>
    <s v="Ground"/>
    <n v="5"/>
    <m/>
    <n v="-5"/>
    <x v="4"/>
    <x v="4"/>
    <x v="0"/>
  </r>
  <r>
    <s v="Credit"/>
    <x v="8"/>
    <s v="Fuel. Co"/>
    <n v="77"/>
    <m/>
    <n v="-77"/>
    <x v="9"/>
    <x v="6"/>
    <x v="0"/>
  </r>
  <r>
    <s v="Credit"/>
    <x v="8"/>
    <s v="Ground"/>
    <n v="5"/>
    <m/>
    <n v="-5"/>
    <x v="4"/>
    <x v="4"/>
    <x v="0"/>
  </r>
  <r>
    <s v="Credit"/>
    <x v="9"/>
    <s v="Ground"/>
    <n v="5"/>
    <m/>
    <n v="-5"/>
    <x v="4"/>
    <x v="4"/>
    <x v="0"/>
  </r>
  <r>
    <s v="Credit"/>
    <x v="10"/>
    <s v="Green's"/>
    <n v="135"/>
    <m/>
    <n v="-135"/>
    <x v="7"/>
    <x v="5"/>
    <x v="0"/>
  </r>
  <r>
    <s v="Credit"/>
    <x v="10"/>
    <s v="Ground"/>
    <n v="5"/>
    <m/>
    <n v="-5"/>
    <x v="4"/>
    <x v="4"/>
    <x v="0"/>
  </r>
  <r>
    <s v="Credit"/>
    <x v="11"/>
    <s v="Ground"/>
    <n v="5"/>
    <m/>
    <n v="-5"/>
    <x v="4"/>
    <x v="4"/>
    <x v="0"/>
  </r>
  <r>
    <s v="Credit"/>
    <x v="11"/>
    <s v="Event Cinemas"/>
    <n v="40"/>
    <m/>
    <n v="-40"/>
    <x v="10"/>
    <x v="7"/>
    <x v="0"/>
  </r>
  <r>
    <s v="Checking"/>
    <x v="12"/>
    <s v="Water Bill"/>
    <n v="88"/>
    <m/>
    <n v="-88"/>
    <x v="8"/>
    <x v="5"/>
    <x v="0"/>
  </r>
  <r>
    <s v="Checking"/>
    <x v="13"/>
    <s v="Salary Payment"/>
    <m/>
    <n v="3500"/>
    <n v="3500"/>
    <x v="3"/>
    <x v="3"/>
    <x v="2"/>
  </r>
  <r>
    <s v="Credit"/>
    <x v="14"/>
    <s v="Coffee Shop"/>
    <n v="12.5"/>
    <m/>
    <n v="-12.5"/>
    <x v="11"/>
    <x v="4"/>
    <x v="0"/>
  </r>
  <r>
    <s v="Credit"/>
    <x v="14"/>
    <s v="Amazon Purchase"/>
    <n v="68.2"/>
    <m/>
    <n v="-68.2"/>
    <x v="10"/>
    <x v="7"/>
    <x v="0"/>
  </r>
  <r>
    <s v="Saving"/>
    <x v="15"/>
    <s v="Dividend Payment"/>
    <m/>
    <n v="115.5"/>
    <n v="115.5"/>
    <x v="12"/>
    <x v="2"/>
    <x v="2"/>
  </r>
  <r>
    <s v="Credit"/>
    <x v="16"/>
    <s v="Gym Membership"/>
    <n v="65"/>
    <m/>
    <n v="-65"/>
    <x v="13"/>
    <x v="7"/>
    <x v="0"/>
  </r>
  <r>
    <s v="Credit"/>
    <x v="17"/>
    <s v="Restaurant Dinner"/>
    <n v="95"/>
    <m/>
    <n v="-95"/>
    <x v="10"/>
    <x v="7"/>
    <x v="0"/>
  </r>
  <r>
    <s v="Checking"/>
    <x v="18"/>
    <s v="Monthly Rent Payment"/>
    <n v="1200"/>
    <m/>
    <n v="-1200"/>
    <x v="5"/>
    <x v="5"/>
    <x v="0"/>
  </r>
  <r>
    <s v="Saving"/>
    <x v="19"/>
    <s v="Bonus Transfer"/>
    <m/>
    <n v="500"/>
    <n v="500"/>
    <x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76FAE3-0710-43DE-B473-904B51C5569E}" name="PivotTable18" cacheId="32"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I17:K38" firstHeaderRow="0" firstDataRow="1" firstDataCol="1" rowPageCount="1" colPageCount="1"/>
  <pivotFields count="9">
    <pivotField showAll="0"/>
    <pivotField axis="axisRow" showAll="0">
      <items count="21">
        <item x="8"/>
        <item x="9"/>
        <item x="10"/>
        <item x="11"/>
        <item x="12"/>
        <item x="13"/>
        <item x="14"/>
        <item x="15"/>
        <item x="16"/>
        <item x="17"/>
        <item x="18"/>
        <item x="19"/>
        <item x="0"/>
        <item x="1"/>
        <item x="2"/>
        <item x="3"/>
        <item x="4"/>
        <item x="5"/>
        <item x="6"/>
        <item x="7"/>
        <item t="default"/>
      </items>
    </pivotField>
    <pivotField showAll="0"/>
    <pivotField showAll="0"/>
    <pivotField showAll="0"/>
    <pivotField dataField="1" showAll="0"/>
    <pivotField showAll="0">
      <items count="15">
        <item x="1"/>
        <item x="4"/>
        <item x="12"/>
        <item x="10"/>
        <item x="11"/>
        <item x="8"/>
        <item x="7"/>
        <item x="13"/>
        <item x="0"/>
        <item x="6"/>
        <item x="9"/>
        <item x="5"/>
        <item x="3"/>
        <item x="2"/>
        <item t="default"/>
      </items>
    </pivotField>
    <pivotField showAll="0">
      <items count="9">
        <item x="0"/>
        <item x="4"/>
        <item x="7"/>
        <item x="3"/>
        <item x="5"/>
        <item x="1"/>
        <item x="6"/>
        <item x="2"/>
        <item t="default"/>
      </items>
    </pivotField>
    <pivotField axis="axisPage" multipleItemSelectionAllowed="1" showAll="0">
      <items count="4">
        <item x="0"/>
        <item x="2"/>
        <item h="1" x="1"/>
        <item t="default"/>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pageFields count="1">
    <pageField fld="8" hier="-1"/>
  </pageFields>
  <dataFields count="2">
    <dataField name="Net Savings" fld="5" baseField="0" baseItem="0"/>
    <dataField name="Sum of Income/(Expense)2" fld="5" baseField="0" baseItem="0" numFmtId="164"/>
  </dataFields>
  <formats count="4">
    <format dxfId="24">
      <pivotArea outline="0" collapsedLevelsAreSubtotals="1" fieldPosition="0">
        <references count="1">
          <reference field="4294967294" count="1" selected="0">
            <x v="1"/>
          </reference>
        </references>
      </pivotArea>
    </format>
    <format dxfId="25">
      <pivotArea dataOnly="0" labelOnly="1" outline="0" fieldPosition="0">
        <references count="1">
          <reference field="4294967294" count="1">
            <x v="1"/>
          </reference>
        </references>
      </pivotArea>
    </format>
    <format dxfId="26">
      <pivotArea dataOnly="0" labelOnly="1" outline="0" fieldPosition="0">
        <references count="1">
          <reference field="4294967294" count="1">
            <x v="0"/>
          </reference>
        </references>
      </pivotArea>
    </format>
    <format dxfId="27">
      <pivotArea dataOnly="0" labelOnly="1" outline="0" fieldPosition="0">
        <references count="1">
          <reference field="4294967294" count="1">
            <x v="0"/>
          </reference>
        </references>
      </pivotArea>
    </format>
  </formats>
  <conditionalFormats count="1">
    <conditionalFormat scope="field" priority="1">
      <pivotAreas count="1">
        <pivotArea outline="0" collapsedLevelsAreSubtotals="1" fieldPosition="0">
          <references count="2">
            <reference field="4294967294" count="1" selected="0">
              <x v="1"/>
            </reference>
            <reference field="1" count="0" selected="0"/>
          </references>
        </pivotArea>
      </pivotAreas>
    </conditionalFormat>
  </conditional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658539-DDC2-415A-96AA-1130EAD660EC}" name="PivotTable16" cacheId="32"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E17:G35" firstHeaderRow="0" firstDataRow="1" firstDataCol="1" rowPageCount="1" colPageCount="1"/>
  <pivotFields count="9">
    <pivotField showAll="0"/>
    <pivotField axis="axisRow" showAll="0">
      <items count="21">
        <item x="8"/>
        <item x="9"/>
        <item x="10"/>
        <item x="11"/>
        <item x="12"/>
        <item x="13"/>
        <item x="14"/>
        <item x="15"/>
        <item x="16"/>
        <item x="17"/>
        <item x="18"/>
        <item x="19"/>
        <item x="0"/>
        <item x="1"/>
        <item x="2"/>
        <item x="3"/>
        <item x="4"/>
        <item x="5"/>
        <item x="6"/>
        <item x="7"/>
        <item t="default"/>
      </items>
    </pivotField>
    <pivotField showAll="0"/>
    <pivotField showAll="0"/>
    <pivotField showAll="0"/>
    <pivotField dataField="1" showAll="0"/>
    <pivotField showAll="0">
      <items count="15">
        <item x="1"/>
        <item x="4"/>
        <item x="12"/>
        <item x="10"/>
        <item x="11"/>
        <item x="8"/>
        <item x="7"/>
        <item x="13"/>
        <item x="0"/>
        <item x="6"/>
        <item x="9"/>
        <item x="5"/>
        <item x="3"/>
        <item x="2"/>
        <item t="default"/>
      </items>
    </pivotField>
    <pivotField showAll="0">
      <items count="9">
        <item x="0"/>
        <item x="4"/>
        <item x="7"/>
        <item x="3"/>
        <item x="5"/>
        <item x="1"/>
        <item x="6"/>
        <item x="2"/>
        <item t="default"/>
      </items>
    </pivotField>
    <pivotField axis="axisPage" showAll="0">
      <items count="4">
        <item x="0"/>
        <item x="2"/>
        <item x="1"/>
        <item t="default"/>
      </items>
    </pivotField>
  </pivotFields>
  <rowFields count="1">
    <field x="1"/>
  </rowFields>
  <rowItems count="18">
    <i>
      <x/>
    </i>
    <i>
      <x v="1"/>
    </i>
    <i>
      <x v="2"/>
    </i>
    <i>
      <x v="3"/>
    </i>
    <i>
      <x v="4"/>
    </i>
    <i>
      <x v="6"/>
    </i>
    <i>
      <x v="8"/>
    </i>
    <i>
      <x v="9"/>
    </i>
    <i>
      <x v="10"/>
    </i>
    <i>
      <x v="12"/>
    </i>
    <i>
      <x v="13"/>
    </i>
    <i>
      <x v="14"/>
    </i>
    <i>
      <x v="15"/>
    </i>
    <i>
      <x v="16"/>
    </i>
    <i>
      <x v="17"/>
    </i>
    <i>
      <x v="18"/>
    </i>
    <i>
      <x v="19"/>
    </i>
    <i t="grand">
      <x/>
    </i>
  </rowItems>
  <colFields count="1">
    <field x="-2"/>
  </colFields>
  <colItems count="2">
    <i>
      <x/>
    </i>
    <i i="1">
      <x v="1"/>
    </i>
  </colItems>
  <pageFields count="1">
    <pageField fld="8" item="0" hier="-1"/>
  </pageFields>
  <dataFields count="2">
    <dataField name="Expense" fld="5" baseField="0" baseItem="0"/>
    <dataField name="Sum of Income/(Expense)2" fld="5" baseField="0" baseItem="0" numFmtId="164"/>
  </dataFields>
  <formats count="4">
    <format dxfId="42">
      <pivotArea outline="0" collapsedLevelsAreSubtotals="1" fieldPosition="0">
        <references count="1">
          <reference field="4294967294" count="1" selected="0">
            <x v="1"/>
          </reference>
        </references>
      </pivotArea>
    </format>
    <format dxfId="43">
      <pivotArea dataOnly="0" labelOnly="1" outline="0" fieldPosition="0">
        <references count="1">
          <reference field="4294967294" count="1">
            <x v="1"/>
          </reference>
        </references>
      </pivotArea>
    </format>
    <format dxfId="44">
      <pivotArea dataOnly="0" labelOnly="1" outline="0" fieldPosition="0">
        <references count="1">
          <reference field="4294967294" count="1">
            <x v="0"/>
          </reference>
        </references>
      </pivotArea>
    </format>
    <format dxfId="29">
      <pivotArea dataOnly="0" labelOnly="1" outline="0" fieldPosition="0">
        <references count="1">
          <reference field="4294967294" count="1">
            <x v="0"/>
          </reference>
        </references>
      </pivotArea>
    </format>
  </formats>
  <conditionalFormats count="1">
    <conditionalFormat scope="field" priority="2">
      <pivotAreas count="1">
        <pivotArea outline="0" collapsedLevelsAreSubtotals="1" fieldPosition="0">
          <references count="2">
            <reference field="4294967294" count="1" selected="0">
              <x v="1"/>
            </reference>
            <reference field="1" count="0" selected="0"/>
          </references>
        </pivotArea>
      </pivotAreas>
    </conditionalFormat>
  </conditional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28188F-20B8-4AAD-9A6C-426BB49CB01C}" name="PivotTable15" cacheId="32"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A17:C23" firstHeaderRow="0" firstDataRow="1" firstDataCol="1" rowPageCount="1" colPageCount="1"/>
  <pivotFields count="9">
    <pivotField showAll="0"/>
    <pivotField axis="axisRow" showAll="0">
      <items count="21">
        <item x="8"/>
        <item x="9"/>
        <item x="10"/>
        <item x="11"/>
        <item x="12"/>
        <item x="13"/>
        <item x="14"/>
        <item x="15"/>
        <item x="16"/>
        <item x="17"/>
        <item x="18"/>
        <item x="19"/>
        <item x="0"/>
        <item x="1"/>
        <item x="2"/>
        <item x="3"/>
        <item x="4"/>
        <item x="5"/>
        <item x="6"/>
        <item x="7"/>
        <item t="default"/>
      </items>
    </pivotField>
    <pivotField showAll="0"/>
    <pivotField showAll="0"/>
    <pivotField showAll="0"/>
    <pivotField dataField="1" showAll="0"/>
    <pivotField showAll="0">
      <items count="15">
        <item x="1"/>
        <item x="4"/>
        <item x="12"/>
        <item x="10"/>
        <item x="11"/>
        <item x="8"/>
        <item x="7"/>
        <item x="13"/>
        <item x="0"/>
        <item x="6"/>
        <item x="9"/>
        <item x="5"/>
        <item x="3"/>
        <item x="2"/>
        <item t="default"/>
      </items>
    </pivotField>
    <pivotField showAll="0">
      <items count="9">
        <item x="0"/>
        <item x="4"/>
        <item x="7"/>
        <item x="3"/>
        <item x="5"/>
        <item x="1"/>
        <item x="6"/>
        <item x="2"/>
        <item t="default"/>
      </items>
    </pivotField>
    <pivotField axis="axisPage" showAll="0">
      <items count="4">
        <item x="0"/>
        <item x="2"/>
        <item x="1"/>
        <item t="default"/>
      </items>
    </pivotField>
  </pivotFields>
  <rowFields count="1">
    <field x="1"/>
  </rowFields>
  <rowItems count="6">
    <i>
      <x v="5"/>
    </i>
    <i>
      <x v="7"/>
    </i>
    <i>
      <x v="11"/>
    </i>
    <i>
      <x v="12"/>
    </i>
    <i>
      <x v="13"/>
    </i>
    <i t="grand">
      <x/>
    </i>
  </rowItems>
  <colFields count="1">
    <field x="-2"/>
  </colFields>
  <colItems count="2">
    <i>
      <x/>
    </i>
    <i i="1">
      <x v="1"/>
    </i>
  </colItems>
  <pageFields count="1">
    <pageField fld="8" item="1" hier="-1"/>
  </pageFields>
  <dataFields count="2">
    <dataField name="Income" fld="5" baseField="0" baseItem="0"/>
    <dataField name="Sum of Income/(Expense)2" fld="5" baseField="0" baseItem="0" numFmtId="164"/>
  </dataFields>
  <formats count="4">
    <format dxfId="54">
      <pivotArea outline="0" collapsedLevelsAreSubtotals="1" fieldPosition="0">
        <references count="1">
          <reference field="4294967294" count="1" selected="0">
            <x v="1"/>
          </reference>
        </references>
      </pivotArea>
    </format>
    <format dxfId="55">
      <pivotArea dataOnly="0" labelOnly="1" outline="0" fieldPosition="0">
        <references count="1">
          <reference field="4294967294" count="1">
            <x v="1"/>
          </reference>
        </references>
      </pivotArea>
    </format>
    <format dxfId="56">
      <pivotArea dataOnly="0" labelOnly="1" outline="0" fieldPosition="0">
        <references count="1">
          <reference field="4294967294" count="1">
            <x v="0"/>
          </reference>
        </references>
      </pivotArea>
    </format>
    <format dxfId="28">
      <pivotArea dataOnly="0" labelOnly="1" outline="0" fieldPosition="0">
        <references count="1">
          <reference field="4294967294" count="1">
            <x v="0"/>
          </reference>
        </references>
      </pivotArea>
    </format>
  </formats>
  <conditionalFormats count="1">
    <conditionalFormat scope="field" priority="3">
      <pivotAreas count="1">
        <pivotArea outline="0" collapsedLevelsAreSubtotals="1" fieldPosition="0">
          <references count="2">
            <reference field="4294967294" count="1" selected="0">
              <x v="1"/>
            </reference>
            <reference field="1" count="0" selected="0"/>
          </references>
        </pivotArea>
      </pivotAreas>
    </conditionalFormat>
  </conditional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64B93F-7010-4B06-9089-1785C409C321}" name="PivotTable14" cacheId="32"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N6:Q22" firstHeaderRow="0" firstDataRow="1" firstDataCol="1" rowPageCount="1" colPageCount="1"/>
  <pivotFields count="9">
    <pivotField showAll="0"/>
    <pivotField showAll="0">
      <items count="21">
        <item x="8"/>
        <item x="9"/>
        <item x="10"/>
        <item x="11"/>
        <item x="12"/>
        <item x="13"/>
        <item x="14"/>
        <item x="15"/>
        <item x="16"/>
        <item x="17"/>
        <item x="18"/>
        <item x="19"/>
        <item x="0"/>
        <item x="1"/>
        <item x="2"/>
        <item x="3"/>
        <item x="4"/>
        <item x="5"/>
        <item x="6"/>
        <item x="7"/>
        <item t="default"/>
      </items>
    </pivotField>
    <pivotField showAll="0"/>
    <pivotField showAll="0"/>
    <pivotField showAll="0"/>
    <pivotField dataField="1" showAll="0"/>
    <pivotField axis="axisRow" showAll="0" sortType="ascending">
      <items count="15">
        <item x="2"/>
        <item x="3"/>
        <item x="5"/>
        <item x="9"/>
        <item x="6"/>
        <item x="0"/>
        <item x="13"/>
        <item x="7"/>
        <item x="8"/>
        <item x="11"/>
        <item x="10"/>
        <item x="12"/>
        <item x="4"/>
        <item x="1"/>
        <item t="default"/>
      </items>
      <autoSortScope>
        <pivotArea dataOnly="0" outline="0" fieldPosition="0">
          <references count="1">
            <reference field="4294967294" count="1" selected="0">
              <x v="1"/>
            </reference>
          </references>
        </pivotArea>
      </autoSortScope>
    </pivotField>
    <pivotField axis="axisRow" showAll="0" sortType="ascending">
      <items count="9">
        <item x="0"/>
        <item x="4"/>
        <item x="7"/>
        <item x="3"/>
        <item x="5"/>
        <item x="1"/>
        <item x="6"/>
        <item x="2"/>
        <item t="default"/>
      </items>
      <autoSortScope>
        <pivotArea dataOnly="0" outline="0" fieldPosition="0">
          <references count="1">
            <reference field="4294967294" count="1" selected="0">
              <x v="0"/>
            </reference>
          </references>
        </pivotArea>
      </autoSortScope>
    </pivotField>
    <pivotField axis="axisPage" showAll="0">
      <items count="4">
        <item x="0"/>
        <item x="2"/>
        <item x="1"/>
        <item t="default"/>
      </items>
    </pivotField>
  </pivotFields>
  <rowFields count="2">
    <field x="7"/>
    <field x="6"/>
  </rowFields>
  <rowItems count="16">
    <i>
      <x v="4"/>
    </i>
    <i r="1">
      <x v="2"/>
    </i>
    <i r="1">
      <x v="7"/>
    </i>
    <i r="1">
      <x v="8"/>
    </i>
    <i>
      <x v="2"/>
    </i>
    <i r="1">
      <x v="10"/>
    </i>
    <i r="1">
      <x v="6"/>
    </i>
    <i>
      <x/>
    </i>
    <i r="1">
      <x v="4"/>
    </i>
    <i r="1">
      <x v="5"/>
    </i>
    <i>
      <x v="6"/>
    </i>
    <i r="1">
      <x v="3"/>
    </i>
    <i>
      <x v="1"/>
    </i>
    <i r="1">
      <x v="12"/>
    </i>
    <i r="1">
      <x v="9"/>
    </i>
    <i t="grand">
      <x/>
    </i>
  </rowItems>
  <colFields count="1">
    <field x="-2"/>
  </colFields>
  <colItems count="3">
    <i>
      <x/>
    </i>
    <i i="1">
      <x v="1"/>
    </i>
    <i i="2">
      <x v="2"/>
    </i>
  </colItems>
  <pageFields count="1">
    <pageField fld="8" item="0" hier="-1"/>
  </pageFields>
  <dataFields count="3">
    <dataField name="Expense" fld="5" baseField="0" baseItem="0"/>
    <dataField name="% of Total" fld="5" showDataAs="percentOfTotal" baseField="0" baseItem="0" numFmtId="10"/>
    <dataField name="Sum of Income/(Expense)2" fld="5" baseField="0" baseItem="0" numFmtId="164"/>
  </dataFields>
  <formats count="5">
    <format dxfId="82">
      <pivotArea outline="0" collapsedLevelsAreSubtotals="1" fieldPosition="0">
        <references count="1">
          <reference field="4294967294" count="1" selected="0">
            <x v="2"/>
          </reference>
        </references>
      </pivotArea>
    </format>
    <format dxfId="83">
      <pivotArea dataOnly="0" labelOnly="1" outline="0" fieldPosition="0">
        <references count="1">
          <reference field="4294967294" count="1">
            <x v="2"/>
          </reference>
        </references>
      </pivotArea>
    </format>
    <format dxfId="84">
      <pivotArea outline="0" fieldPosition="0">
        <references count="1">
          <reference field="4294967294" count="1">
            <x v="1"/>
          </reference>
        </references>
      </pivotArea>
    </format>
    <format dxfId="85">
      <pivotArea dataOnly="0" labelOnly="1" outline="0" fieldPosition="0">
        <references count="1">
          <reference field="4294967294" count="1">
            <x v="0"/>
          </reference>
        </references>
      </pivotArea>
    </format>
    <format dxfId="86">
      <pivotArea dataOnly="0" labelOnly="1" outline="0" fieldPosition="0">
        <references count="1">
          <reference field="4294967294" count="1">
            <x v="1"/>
          </reference>
        </references>
      </pivotArea>
    </format>
  </formats>
  <conditionalFormats count="1">
    <conditionalFormat scope="field" priority="5">
      <pivotAreas count="1">
        <pivotArea outline="0" collapsedLevelsAreSubtotals="1" fieldPosition="0">
          <references count="2">
            <reference field="4294967294" count="1" selected="0">
              <x v="2"/>
            </reference>
            <reference field="6" count="0" selected="0"/>
          </references>
        </pivotArea>
      </pivotAreas>
    </conditionalFormat>
  </conditional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4C9060-0432-45F6-BBCC-FE335E00B903}" name="PivotTable13" cacheId="32"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I6:L12" firstHeaderRow="0" firstDataRow="1" firstDataCol="1" rowPageCount="1" colPageCount="1"/>
  <pivotFields count="9">
    <pivotField showAll="0"/>
    <pivotField showAll="0">
      <items count="21">
        <item x="8"/>
        <item x="9"/>
        <item x="10"/>
        <item x="11"/>
        <item x="12"/>
        <item x="13"/>
        <item x="14"/>
        <item x="15"/>
        <item x="16"/>
        <item x="17"/>
        <item x="18"/>
        <item x="19"/>
        <item x="0"/>
        <item x="1"/>
        <item x="2"/>
        <item x="3"/>
        <item x="4"/>
        <item x="5"/>
        <item x="6"/>
        <item x="7"/>
        <item t="default"/>
      </items>
    </pivotField>
    <pivotField showAll="0"/>
    <pivotField showAll="0"/>
    <pivotField showAll="0"/>
    <pivotField dataField="1" showAll="0"/>
    <pivotField showAll="0">
      <items count="15">
        <item x="1"/>
        <item x="4"/>
        <item x="12"/>
        <item x="10"/>
        <item x="11"/>
        <item x="8"/>
        <item x="7"/>
        <item x="13"/>
        <item x="0"/>
        <item x="6"/>
        <item x="9"/>
        <item x="5"/>
        <item x="3"/>
        <item x="2"/>
        <item t="default"/>
      </items>
    </pivotField>
    <pivotField axis="axisRow" showAll="0" sortType="ascending">
      <items count="9">
        <item x="0"/>
        <item x="4"/>
        <item x="7"/>
        <item x="3"/>
        <item x="5"/>
        <item x="1"/>
        <item x="6"/>
        <item x="2"/>
        <item t="default"/>
      </items>
      <autoSortScope>
        <pivotArea dataOnly="0" outline="0" fieldPosition="0">
          <references count="1">
            <reference field="4294967294" count="1" selected="0">
              <x v="0"/>
            </reference>
          </references>
        </pivotArea>
      </autoSortScope>
    </pivotField>
    <pivotField axis="axisPage" showAll="0">
      <items count="4">
        <item x="0"/>
        <item x="2"/>
        <item x="1"/>
        <item t="default"/>
      </items>
    </pivotField>
  </pivotFields>
  <rowFields count="1">
    <field x="7"/>
  </rowFields>
  <rowItems count="6">
    <i>
      <x v="4"/>
    </i>
    <i>
      <x v="2"/>
    </i>
    <i>
      <x/>
    </i>
    <i>
      <x v="6"/>
    </i>
    <i>
      <x v="1"/>
    </i>
    <i t="grand">
      <x/>
    </i>
  </rowItems>
  <colFields count="1">
    <field x="-2"/>
  </colFields>
  <colItems count="3">
    <i>
      <x/>
    </i>
    <i i="1">
      <x v="1"/>
    </i>
    <i i="2">
      <x v="2"/>
    </i>
  </colItems>
  <pageFields count="1">
    <pageField fld="8" item="0" hier="-1"/>
  </pageFields>
  <dataFields count="3">
    <dataField name="Expense" fld="5" baseField="0" baseItem="0"/>
    <dataField name="% of Total" fld="5" showDataAs="percentOfTotal" baseField="0" baseItem="0" numFmtId="10"/>
    <dataField name="Sum of Income/(Expense)2" fld="5" baseField="0" baseItem="0" numFmtId="164"/>
  </dataFields>
  <formats count="5">
    <format dxfId="116">
      <pivotArea outline="0" collapsedLevelsAreSubtotals="1" fieldPosition="0">
        <references count="1">
          <reference field="4294967294" count="1" selected="0">
            <x v="2"/>
          </reference>
        </references>
      </pivotArea>
    </format>
    <format dxfId="117">
      <pivotArea dataOnly="0" labelOnly="1" outline="0" fieldPosition="0">
        <references count="1">
          <reference field="4294967294" count="1">
            <x v="2"/>
          </reference>
        </references>
      </pivotArea>
    </format>
    <format dxfId="95">
      <pivotArea outline="0" fieldPosition="0">
        <references count="1">
          <reference field="4294967294" count="1">
            <x v="1"/>
          </reference>
        </references>
      </pivotArea>
    </format>
    <format dxfId="90">
      <pivotArea dataOnly="0" labelOnly="1" outline="0" fieldPosition="0">
        <references count="1">
          <reference field="4294967294" count="1">
            <x v="0"/>
          </reference>
        </references>
      </pivotArea>
    </format>
    <format dxfId="88">
      <pivotArea dataOnly="0" labelOnly="1" outline="0" fieldPosition="0">
        <references count="1">
          <reference field="4294967294" count="1">
            <x v="1"/>
          </reference>
        </references>
      </pivotArea>
    </format>
  </formats>
  <conditionalFormats count="1">
    <conditionalFormat scope="field" priority="7">
      <pivotAreas count="1">
        <pivotArea outline="0" collapsedLevelsAreSubtotals="1" fieldPosition="0">
          <references count="2">
            <reference field="4294967294" count="1" selected="0">
              <x v="2"/>
            </reference>
            <reference field="7" count="0" selected="0"/>
          </references>
        </pivotArea>
      </pivotAreas>
    </conditionalFormat>
  </conditional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B345A4-3264-426A-88BE-620474087F3C}" name="PivotTable12" cacheId="32"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E6:G12" firstHeaderRow="0" firstDataRow="1" firstDataCol="1" rowPageCount="1" colPageCount="1"/>
  <pivotFields count="9">
    <pivotField showAll="0"/>
    <pivotField showAll="0">
      <items count="21">
        <item x="8"/>
        <item x="9"/>
        <item x="10"/>
        <item x="11"/>
        <item x="12"/>
        <item x="13"/>
        <item x="14"/>
        <item x="15"/>
        <item x="16"/>
        <item x="17"/>
        <item x="18"/>
        <item x="19"/>
        <item x="0"/>
        <item x="1"/>
        <item x="2"/>
        <item x="3"/>
        <item x="4"/>
        <item x="5"/>
        <item x="6"/>
        <item x="7"/>
        <item t="default"/>
      </items>
    </pivotField>
    <pivotField showAll="0"/>
    <pivotField showAll="0"/>
    <pivotField showAll="0"/>
    <pivotField dataField="1" showAll="0"/>
    <pivotField axis="axisRow" showAll="0">
      <items count="15">
        <item x="1"/>
        <item x="4"/>
        <item x="12"/>
        <item x="10"/>
        <item x="11"/>
        <item x="8"/>
        <item x="7"/>
        <item x="13"/>
        <item x="0"/>
        <item x="6"/>
        <item x="9"/>
        <item x="5"/>
        <item x="3"/>
        <item x="2"/>
        <item t="default"/>
      </items>
    </pivotField>
    <pivotField axis="axisRow" showAll="0">
      <items count="9">
        <item x="0"/>
        <item x="4"/>
        <item x="7"/>
        <item x="3"/>
        <item x="5"/>
        <item x="1"/>
        <item x="6"/>
        <item x="2"/>
        <item t="default"/>
      </items>
    </pivotField>
    <pivotField axis="axisPage" showAll="0">
      <items count="4">
        <item x="0"/>
        <item x="2"/>
        <item x="1"/>
        <item t="default"/>
      </items>
    </pivotField>
  </pivotFields>
  <rowFields count="2">
    <field x="7"/>
    <field x="6"/>
  </rowFields>
  <rowItems count="6">
    <i>
      <x v="3"/>
    </i>
    <i r="1">
      <x v="12"/>
    </i>
    <i>
      <x v="7"/>
    </i>
    <i r="1">
      <x v="2"/>
    </i>
    <i r="1">
      <x v="13"/>
    </i>
    <i t="grand">
      <x/>
    </i>
  </rowItems>
  <colFields count="1">
    <field x="-2"/>
  </colFields>
  <colItems count="2">
    <i>
      <x/>
    </i>
    <i i="1">
      <x v="1"/>
    </i>
  </colItems>
  <pageFields count="1">
    <pageField fld="8" item="1" hier="-1"/>
  </pageFields>
  <dataFields count="2">
    <dataField name="Income" fld="5" baseField="0" baseItem="0"/>
    <dataField name="Sum of Income/(Expense)2" fld="5" baseField="0" baseItem="0" numFmtId="164"/>
  </dataFields>
  <formats count="3">
    <format dxfId="125">
      <pivotArea outline="0" collapsedLevelsAreSubtotals="1" fieldPosition="0">
        <references count="1">
          <reference field="4294967294" count="1" selected="0">
            <x v="1"/>
          </reference>
        </references>
      </pivotArea>
    </format>
    <format dxfId="124">
      <pivotArea dataOnly="0" labelOnly="1" outline="0" fieldPosition="0">
        <references count="1">
          <reference field="4294967294" count="1">
            <x v="1"/>
          </reference>
        </references>
      </pivotArea>
    </format>
    <format dxfId="91">
      <pivotArea dataOnly="0" labelOnly="1" outline="0" fieldPosition="0">
        <references count="1">
          <reference field="4294967294" count="1">
            <x v="0"/>
          </reference>
        </references>
      </pivotArea>
    </format>
  </formats>
  <conditionalFormats count="1">
    <conditionalFormat scope="field" priority="9">
      <pivotAreas count="1">
        <pivotArea outline="0" collapsedLevelsAreSubtotals="1" fieldPosition="0">
          <references count="2">
            <reference field="4294967294" count="1" selected="0">
              <x v="1"/>
            </reference>
            <reference field="6" count="0" selected="0"/>
          </references>
        </pivotArea>
      </pivotAreas>
    </conditionalFormat>
  </conditional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B9396CAD-297C-4282-8301-6503589C4719}" sourceName="Date">
  <pivotTables>
    <pivotTable tabId="3" name="PivotTable12"/>
    <pivotTable tabId="3" name="PivotTable13"/>
    <pivotTable tabId="3" name="PivotTable14"/>
  </pivotTables>
  <data>
    <tabular pivotCacheId="1121934685">
      <items count="20">
        <i x="8" s="1"/>
        <i x="9" s="1"/>
        <i x="10" s="1"/>
        <i x="11" s="1"/>
        <i x="12" s="1"/>
        <i x="13" s="1"/>
        <i x="14" s="1"/>
        <i x="15" s="1"/>
        <i x="16" s="1"/>
        <i x="17" s="1"/>
        <i x="18" s="1"/>
        <i x="19" s="1"/>
        <i x="0" s="1"/>
        <i x="1" s="1"/>
        <i x="2" s="1"/>
        <i x="3" s="1"/>
        <i x="4" s="1"/>
        <i x="5"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CC93F372-9678-4E9E-BF70-2D83C160E589}" cache="Slicer_Date" caption="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177F28-C1F8-4B38-B36E-359A34F2CA5C}" name="Categories" displayName="Categories" ref="A1:C24" totalsRowShown="0" headerRowBorderDxfId="129">
  <autoFilter ref="A1:C24" xr:uid="{B8177F28-C1F8-4B38-B36E-359A34F2CA5C}"/>
  <tableColumns count="3">
    <tableColumn id="2" xr3:uid="{AF36F01A-97F6-4F08-9F8A-C1F3AB048813}" name="Subcategory"/>
    <tableColumn id="1" xr3:uid="{985ADB70-EFF5-4439-9D94-53450E78F24F}" name="Category"/>
    <tableColumn id="3" xr3:uid="{740ED248-B0D4-4A48-ACE2-CFDFE0E9CA00}" name="Category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BC6898-6804-4CB5-A64C-B949761954DD}" name="Table2" displayName="Table2" ref="A1:I32" totalsRowShown="0">
  <autoFilter ref="A1:I32" xr:uid="{A8BC6898-6804-4CB5-A64C-B949761954DD}"/>
  <tableColumns count="9">
    <tableColumn id="1" xr3:uid="{8B9880AA-A1B3-4AAD-A976-481447432377}" name="Account"/>
    <tableColumn id="2" xr3:uid="{1A68F360-306E-4272-9C28-AFA1AD78FE96}" name="Date"/>
    <tableColumn id="3" xr3:uid="{421CC114-5E78-408A-ABE6-E1DF1E826152}" name="Description"/>
    <tableColumn id="4" xr3:uid="{9BF9BDD5-DA86-4CF1-9A6A-4BE4FEE9873B}" name="Debit (Spend)"/>
    <tableColumn id="5" xr3:uid="{B71B9CAD-CAA4-416B-8DE4-A34686EB2000}" name="Credit (Income)"/>
    <tableColumn id="6" xr3:uid="{0A7D3021-117C-4D9D-A33C-DD8AC13E6576}" name="Income/(Expense)" dataDxfId="128">
      <calculatedColumnFormula>Table2[[#This Row],[Credit (Income)]]-Table2[[#This Row],[Debit (Spend)]]</calculatedColumnFormula>
    </tableColumn>
    <tableColumn id="7" xr3:uid="{CBB63AFF-7148-481E-AD57-A53BB37B1494}" name="Subcategory"/>
    <tableColumn id="8" xr3:uid="{4708FA52-D4BE-460D-8327-DE615145F11F}" name="Category" dataDxfId="127">
      <calculatedColumnFormula>VLOOKUP(Table2[[#This Row],[Subcategory]],Categories[#All],2,0)</calculatedColumnFormula>
    </tableColumn>
    <tableColumn id="9" xr3:uid="{67C5537D-4ED1-4F6E-99C2-A091C9ECD8A2}" name="Category Type" dataDxfId="126">
      <calculatedColumnFormula>VLOOKUP(Table2[[#This Row],[Subcategory]],Categories[#All],3,0)</calculatedColumnFormula>
    </tableColumn>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workbookViewId="0">
      <selection activeCell="G5" sqref="G5"/>
    </sheetView>
  </sheetViews>
  <sheetFormatPr defaultRowHeight="15" x14ac:dyDescent="0.25"/>
  <cols>
    <col min="1" max="1" width="15.85546875" bestFit="1" customWidth="1"/>
    <col min="2" max="2" width="16" bestFit="1" customWidth="1"/>
    <col min="3" max="4" width="13.140625" bestFit="1" customWidth="1"/>
  </cols>
  <sheetData>
    <row r="1" spans="1:3" x14ac:dyDescent="0.25">
      <c r="A1" s="1" t="s">
        <v>1</v>
      </c>
      <c r="B1" s="1" t="s">
        <v>0</v>
      </c>
      <c r="C1" s="1" t="s">
        <v>38</v>
      </c>
    </row>
    <row r="2" spans="1:3" x14ac:dyDescent="0.25">
      <c r="A2" t="s">
        <v>12</v>
      </c>
      <c r="B2" t="s">
        <v>2</v>
      </c>
      <c r="C2" t="s">
        <v>35</v>
      </c>
    </row>
    <row r="3" spans="1:3" x14ac:dyDescent="0.25">
      <c r="A3" t="s">
        <v>13</v>
      </c>
      <c r="B3" t="s">
        <v>3</v>
      </c>
      <c r="C3" t="s">
        <v>35</v>
      </c>
    </row>
    <row r="4" spans="1:3" x14ac:dyDescent="0.25">
      <c r="A4" t="s">
        <v>14</v>
      </c>
      <c r="B4" t="s">
        <v>3</v>
      </c>
      <c r="C4" t="s">
        <v>35</v>
      </c>
    </row>
    <row r="5" spans="1:3" x14ac:dyDescent="0.25">
      <c r="A5" t="s">
        <v>15</v>
      </c>
      <c r="B5" t="s">
        <v>4</v>
      </c>
      <c r="C5" t="s">
        <v>35</v>
      </c>
    </row>
    <row r="6" spans="1:3" x14ac:dyDescent="0.25">
      <c r="A6" t="s">
        <v>16</v>
      </c>
      <c r="B6" t="s">
        <v>4</v>
      </c>
      <c r="C6" t="s">
        <v>35</v>
      </c>
    </row>
    <row r="7" spans="1:3" x14ac:dyDescent="0.25">
      <c r="A7" t="s">
        <v>17</v>
      </c>
      <c r="B7" t="s">
        <v>5</v>
      </c>
      <c r="C7" t="s">
        <v>35</v>
      </c>
    </row>
    <row r="8" spans="1:3" x14ac:dyDescent="0.25">
      <c r="A8" t="s">
        <v>18</v>
      </c>
      <c r="B8" t="s">
        <v>5</v>
      </c>
      <c r="C8" t="s">
        <v>35</v>
      </c>
    </row>
    <row r="9" spans="1:3" x14ac:dyDescent="0.25">
      <c r="A9" t="s">
        <v>19</v>
      </c>
      <c r="B9" t="s">
        <v>5</v>
      </c>
      <c r="C9" t="s">
        <v>35</v>
      </c>
    </row>
    <row r="10" spans="1:3" x14ac:dyDescent="0.25">
      <c r="A10" t="s">
        <v>20</v>
      </c>
      <c r="B10" t="s">
        <v>5</v>
      </c>
      <c r="C10" t="s">
        <v>35</v>
      </c>
    </row>
    <row r="11" spans="1:3" x14ac:dyDescent="0.25">
      <c r="A11" t="s">
        <v>21</v>
      </c>
      <c r="B11" t="s">
        <v>5</v>
      </c>
      <c r="C11" t="s">
        <v>35</v>
      </c>
    </row>
    <row r="12" spans="1:3" x14ac:dyDescent="0.25">
      <c r="A12" t="s">
        <v>22</v>
      </c>
      <c r="B12" t="s">
        <v>6</v>
      </c>
      <c r="C12" t="s">
        <v>36</v>
      </c>
    </row>
    <row r="13" spans="1:3" x14ac:dyDescent="0.25">
      <c r="A13" t="s">
        <v>23</v>
      </c>
      <c r="B13" t="s">
        <v>7</v>
      </c>
      <c r="C13" t="s">
        <v>35</v>
      </c>
    </row>
    <row r="14" spans="1:3" x14ac:dyDescent="0.25">
      <c r="A14" t="s">
        <v>24</v>
      </c>
      <c r="B14" t="s">
        <v>7</v>
      </c>
      <c r="C14" t="s">
        <v>35</v>
      </c>
    </row>
    <row r="15" spans="1:3" x14ac:dyDescent="0.25">
      <c r="A15" t="s">
        <v>25</v>
      </c>
      <c r="B15" t="s">
        <v>7</v>
      </c>
      <c r="C15" t="s">
        <v>35</v>
      </c>
    </row>
    <row r="16" spans="1:3" x14ac:dyDescent="0.25">
      <c r="A16" t="s">
        <v>26</v>
      </c>
      <c r="B16" t="s">
        <v>7</v>
      </c>
      <c r="C16" t="s">
        <v>35</v>
      </c>
    </row>
    <row r="17" spans="1:3" x14ac:dyDescent="0.25">
      <c r="A17" t="s">
        <v>27</v>
      </c>
      <c r="B17" t="s">
        <v>8</v>
      </c>
      <c r="C17" t="s">
        <v>35</v>
      </c>
    </row>
    <row r="18" spans="1:3" x14ac:dyDescent="0.25">
      <c r="A18" t="s">
        <v>28</v>
      </c>
      <c r="B18" t="s">
        <v>8</v>
      </c>
      <c r="C18" t="s">
        <v>35</v>
      </c>
    </row>
    <row r="19" spans="1:3" x14ac:dyDescent="0.25">
      <c r="A19" t="s">
        <v>29</v>
      </c>
      <c r="B19" t="s">
        <v>9</v>
      </c>
      <c r="C19" t="s">
        <v>37</v>
      </c>
    </row>
    <row r="20" spans="1:3" x14ac:dyDescent="0.25">
      <c r="A20" t="s">
        <v>30</v>
      </c>
      <c r="B20" t="s">
        <v>10</v>
      </c>
      <c r="C20" t="s">
        <v>35</v>
      </c>
    </row>
    <row r="21" spans="1:3" x14ac:dyDescent="0.25">
      <c r="A21" t="s">
        <v>31</v>
      </c>
      <c r="B21" t="s">
        <v>10</v>
      </c>
      <c r="C21" t="s">
        <v>35</v>
      </c>
    </row>
    <row r="22" spans="1:3" x14ac:dyDescent="0.25">
      <c r="A22" t="s">
        <v>32</v>
      </c>
      <c r="B22" t="s">
        <v>11</v>
      </c>
      <c r="C22" t="s">
        <v>36</v>
      </c>
    </row>
    <row r="23" spans="1:3" x14ac:dyDescent="0.25">
      <c r="A23" t="s">
        <v>33</v>
      </c>
      <c r="B23" t="s">
        <v>11</v>
      </c>
      <c r="C23" t="s">
        <v>36</v>
      </c>
    </row>
    <row r="24" spans="1:3" x14ac:dyDescent="0.25">
      <c r="A24" t="s">
        <v>34</v>
      </c>
      <c r="B24" t="s">
        <v>11</v>
      </c>
      <c r="C24"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60F22-7B61-4A07-B1FF-B4CE395322FC}">
  <dimension ref="A4:Q38"/>
  <sheetViews>
    <sheetView tabSelected="1" zoomScale="80" zoomScaleNormal="80" workbookViewId="0">
      <selection activeCell="U13" sqref="U13"/>
    </sheetView>
  </sheetViews>
  <sheetFormatPr defaultRowHeight="15" x14ac:dyDescent="0.25"/>
  <cols>
    <col min="1" max="1" width="13.7109375" bestFit="1" customWidth="1"/>
    <col min="2" max="2" width="9.85546875" bestFit="1" customWidth="1"/>
    <col min="3" max="3" width="11.140625" customWidth="1"/>
    <col min="5" max="5" width="14.7109375" bestFit="1" customWidth="1"/>
    <col min="6" max="6" width="10.7109375" bestFit="1" customWidth="1"/>
    <col min="7" max="7" width="10.5703125" customWidth="1"/>
    <col min="8" max="8" width="5.85546875" customWidth="1"/>
    <col min="9" max="9" width="16.28515625" customWidth="1"/>
    <col min="10" max="10" width="10.28515625" customWidth="1"/>
    <col min="11" max="11" width="11.140625" customWidth="1"/>
    <col min="13" max="13" width="5.7109375" customWidth="1"/>
    <col min="14" max="14" width="16" bestFit="1" customWidth="1"/>
    <col min="15" max="15" width="10.7109375" bestFit="1" customWidth="1"/>
    <col min="16" max="16" width="9.7109375" bestFit="1" customWidth="1"/>
  </cols>
  <sheetData>
    <row r="4" spans="1:17" x14ac:dyDescent="0.25">
      <c r="E4" s="4" t="s">
        <v>45</v>
      </c>
      <c r="F4" t="s">
        <v>36</v>
      </c>
      <c r="I4" s="4" t="s">
        <v>45</v>
      </c>
      <c r="J4" t="s">
        <v>35</v>
      </c>
      <c r="N4" s="4" t="s">
        <v>45</v>
      </c>
      <c r="O4" t="s">
        <v>35</v>
      </c>
    </row>
    <row r="6" spans="1:17" x14ac:dyDescent="0.25">
      <c r="F6" s="10" t="s">
        <v>36</v>
      </c>
      <c r="G6" s="8" t="s">
        <v>81</v>
      </c>
      <c r="J6" s="10" t="s">
        <v>35</v>
      </c>
      <c r="K6" s="10" t="s">
        <v>82</v>
      </c>
      <c r="L6" s="8" t="s">
        <v>81</v>
      </c>
      <c r="O6" s="10" t="s">
        <v>35</v>
      </c>
      <c r="P6" s="10" t="s">
        <v>82</v>
      </c>
      <c r="Q6" s="8" t="s">
        <v>81</v>
      </c>
    </row>
    <row r="7" spans="1:17" x14ac:dyDescent="0.25">
      <c r="E7" s="5" t="s">
        <v>6</v>
      </c>
      <c r="F7" s="7">
        <v>7500</v>
      </c>
      <c r="G7" s="8">
        <v>7500</v>
      </c>
      <c r="I7" s="5" t="s">
        <v>7</v>
      </c>
      <c r="J7" s="7">
        <v>-2378</v>
      </c>
      <c r="K7" s="9">
        <v>0.8183914375193585</v>
      </c>
      <c r="L7" s="8">
        <v>-2378</v>
      </c>
      <c r="N7" s="5" t="s">
        <v>7</v>
      </c>
      <c r="O7" s="7">
        <v>-2378</v>
      </c>
      <c r="P7" s="9">
        <v>0.8183914375193585</v>
      </c>
      <c r="Q7" s="8">
        <v>-2378</v>
      </c>
    </row>
    <row r="8" spans="1:17" x14ac:dyDescent="0.25">
      <c r="E8" s="6" t="s">
        <v>22</v>
      </c>
      <c r="F8" s="7">
        <v>7500</v>
      </c>
      <c r="G8" s="8">
        <v>7500</v>
      </c>
      <c r="I8" s="5" t="s">
        <v>5</v>
      </c>
      <c r="J8" s="7">
        <v>-268.2</v>
      </c>
      <c r="K8" s="9">
        <v>9.2301338747978121E-2</v>
      </c>
      <c r="L8" s="8">
        <v>-268.2</v>
      </c>
      <c r="N8" s="6" t="s">
        <v>26</v>
      </c>
      <c r="O8" s="7">
        <v>-2100</v>
      </c>
      <c r="P8" s="9">
        <v>0.72271741748976159</v>
      </c>
      <c r="Q8" s="8">
        <v>-2100</v>
      </c>
    </row>
    <row r="9" spans="1:17" x14ac:dyDescent="0.25">
      <c r="E9" s="5" t="s">
        <v>11</v>
      </c>
      <c r="F9" s="7">
        <v>2672.5</v>
      </c>
      <c r="G9" s="8">
        <v>2672.5</v>
      </c>
      <c r="I9" s="5" t="s">
        <v>3</v>
      </c>
      <c r="J9" s="7">
        <v>-115</v>
      </c>
      <c r="K9" s="9">
        <v>3.9577382386344083E-2</v>
      </c>
      <c r="L9" s="8">
        <v>-115</v>
      </c>
      <c r="N9" s="6" t="s">
        <v>24</v>
      </c>
      <c r="O9" s="7">
        <v>-290</v>
      </c>
      <c r="P9" s="9">
        <v>9.9803833843824213E-2</v>
      </c>
      <c r="Q9" s="8">
        <v>-290</v>
      </c>
    </row>
    <row r="10" spans="1:17" x14ac:dyDescent="0.25">
      <c r="E10" s="6" t="s">
        <v>32</v>
      </c>
      <c r="F10" s="7">
        <v>115.5</v>
      </c>
      <c r="G10" s="8">
        <v>115.5</v>
      </c>
      <c r="I10" s="5" t="s">
        <v>10</v>
      </c>
      <c r="J10" s="7">
        <v>-77</v>
      </c>
      <c r="K10" s="9">
        <v>2.6499638641291255E-2</v>
      </c>
      <c r="L10" s="8">
        <v>-77</v>
      </c>
      <c r="N10" s="6" t="s">
        <v>23</v>
      </c>
      <c r="O10" s="7">
        <v>12</v>
      </c>
      <c r="P10" s="9">
        <v>-4.1298138142272086E-3</v>
      </c>
      <c r="Q10" s="8">
        <v>12</v>
      </c>
    </row>
    <row r="11" spans="1:17" x14ac:dyDescent="0.25">
      <c r="E11" s="6" t="s">
        <v>34</v>
      </c>
      <c r="F11" s="7">
        <v>2557</v>
      </c>
      <c r="G11" s="8">
        <v>2557</v>
      </c>
      <c r="I11" s="5" t="s">
        <v>4</v>
      </c>
      <c r="J11" s="7">
        <v>-67.5</v>
      </c>
      <c r="K11" s="9">
        <v>2.3230202705028048E-2</v>
      </c>
      <c r="L11" s="8">
        <v>-67.5</v>
      </c>
      <c r="N11" s="5" t="s">
        <v>5</v>
      </c>
      <c r="O11" s="7">
        <v>-268.2</v>
      </c>
      <c r="P11" s="9">
        <v>9.2301338747978121E-2</v>
      </c>
      <c r="Q11" s="8">
        <v>-268.2</v>
      </c>
    </row>
    <row r="12" spans="1:17" x14ac:dyDescent="0.25">
      <c r="E12" s="5" t="s">
        <v>80</v>
      </c>
      <c r="F12" s="7">
        <v>10172.5</v>
      </c>
      <c r="G12" s="8">
        <v>10172.5</v>
      </c>
      <c r="I12" s="5" t="s">
        <v>80</v>
      </c>
      <c r="J12" s="7">
        <v>-2905.7</v>
      </c>
      <c r="K12" s="9">
        <v>1</v>
      </c>
      <c r="L12" s="8">
        <v>-2905.7</v>
      </c>
      <c r="N12" s="6" t="s">
        <v>18</v>
      </c>
      <c r="O12" s="7">
        <v>-203.2</v>
      </c>
      <c r="P12" s="9">
        <v>6.9931513920914068E-2</v>
      </c>
      <c r="Q12" s="8">
        <v>-203.2</v>
      </c>
    </row>
    <row r="13" spans="1:17" x14ac:dyDescent="0.25">
      <c r="N13" s="6" t="s">
        <v>21</v>
      </c>
      <c r="O13" s="7">
        <v>-65</v>
      </c>
      <c r="P13" s="9">
        <v>2.2369824827064049E-2</v>
      </c>
      <c r="Q13" s="8">
        <v>-65</v>
      </c>
    </row>
    <row r="14" spans="1:17" x14ac:dyDescent="0.25">
      <c r="N14" s="5" t="s">
        <v>3</v>
      </c>
      <c r="O14" s="7">
        <v>-115</v>
      </c>
      <c r="P14" s="9">
        <v>3.9577382386344083E-2</v>
      </c>
      <c r="Q14" s="8">
        <v>-115</v>
      </c>
    </row>
    <row r="15" spans="1:17" x14ac:dyDescent="0.25">
      <c r="A15" s="4" t="s">
        <v>45</v>
      </c>
      <c r="B15" t="s">
        <v>36</v>
      </c>
      <c r="E15" s="4" t="s">
        <v>45</v>
      </c>
      <c r="F15" t="s">
        <v>35</v>
      </c>
      <c r="I15" s="4" t="s">
        <v>45</v>
      </c>
      <c r="J15" t="s">
        <v>83</v>
      </c>
      <c r="N15" s="6" t="s">
        <v>14</v>
      </c>
      <c r="O15" s="7">
        <v>-150</v>
      </c>
      <c r="P15" s="9">
        <v>5.1622672677840112E-2</v>
      </c>
      <c r="Q15" s="8">
        <v>-150</v>
      </c>
    </row>
    <row r="16" spans="1:17" x14ac:dyDescent="0.25">
      <c r="N16" s="6" t="s">
        <v>13</v>
      </c>
      <c r="O16" s="7">
        <v>35</v>
      </c>
      <c r="P16" s="9">
        <v>-1.2045290291496025E-2</v>
      </c>
      <c r="Q16" s="8">
        <v>35</v>
      </c>
    </row>
    <row r="17" spans="1:17" x14ac:dyDescent="0.25">
      <c r="B17" s="12" t="s">
        <v>36</v>
      </c>
      <c r="C17" s="8" t="s">
        <v>81</v>
      </c>
      <c r="F17" s="12" t="s">
        <v>35</v>
      </c>
      <c r="G17" s="8" t="s">
        <v>81</v>
      </c>
      <c r="J17" s="12" t="s">
        <v>84</v>
      </c>
      <c r="K17" s="8" t="s">
        <v>81</v>
      </c>
      <c r="N17" s="5" t="s">
        <v>10</v>
      </c>
      <c r="O17" s="7">
        <v>-77</v>
      </c>
      <c r="P17" s="9">
        <v>2.6499638641291255E-2</v>
      </c>
      <c r="Q17" s="8">
        <v>-77</v>
      </c>
    </row>
    <row r="18" spans="1:17" x14ac:dyDescent="0.25">
      <c r="A18" s="5" t="s">
        <v>65</v>
      </c>
      <c r="B18" s="7">
        <v>3500</v>
      </c>
      <c r="C18" s="8">
        <v>3500</v>
      </c>
      <c r="E18" s="5" t="s">
        <v>57</v>
      </c>
      <c r="F18" s="7">
        <v>-82</v>
      </c>
      <c r="G18" s="8">
        <v>-82</v>
      </c>
      <c r="I18" s="5" t="s">
        <v>57</v>
      </c>
      <c r="J18" s="7">
        <v>-82</v>
      </c>
      <c r="K18" s="8">
        <v>-82</v>
      </c>
      <c r="N18" s="6" t="s">
        <v>30</v>
      </c>
      <c r="O18" s="7">
        <v>-77</v>
      </c>
      <c r="P18" s="9">
        <v>2.6499638641291255E-2</v>
      </c>
      <c r="Q18" s="8">
        <v>-77</v>
      </c>
    </row>
    <row r="19" spans="1:17" x14ac:dyDescent="0.25">
      <c r="A19" s="5" t="s">
        <v>70</v>
      </c>
      <c r="B19" s="7">
        <v>115.5</v>
      </c>
      <c r="C19" s="8">
        <v>115.5</v>
      </c>
      <c r="E19" s="5" t="s">
        <v>59</v>
      </c>
      <c r="F19" s="7">
        <v>-5</v>
      </c>
      <c r="G19" s="8">
        <v>-5</v>
      </c>
      <c r="I19" s="5" t="s">
        <v>59</v>
      </c>
      <c r="J19" s="7">
        <v>-5</v>
      </c>
      <c r="K19" s="8">
        <v>-5</v>
      </c>
      <c r="N19" s="5" t="s">
        <v>4</v>
      </c>
      <c r="O19" s="7">
        <v>-67.5</v>
      </c>
      <c r="P19" s="9">
        <v>2.3230202705028048E-2</v>
      </c>
      <c r="Q19" s="8">
        <v>-67.5</v>
      </c>
    </row>
    <row r="20" spans="1:17" x14ac:dyDescent="0.25">
      <c r="A20" s="5" t="s">
        <v>78</v>
      </c>
      <c r="B20" s="7">
        <v>500</v>
      </c>
      <c r="C20" s="8">
        <v>500</v>
      </c>
      <c r="E20" s="5" t="s">
        <v>60</v>
      </c>
      <c r="F20" s="7">
        <v>-140</v>
      </c>
      <c r="G20" s="8">
        <v>-140</v>
      </c>
      <c r="I20" s="5" t="s">
        <v>60</v>
      </c>
      <c r="J20" s="7">
        <v>-140</v>
      </c>
      <c r="K20" s="8">
        <v>-140</v>
      </c>
      <c r="N20" s="6" t="s">
        <v>15</v>
      </c>
      <c r="O20" s="7">
        <v>-55</v>
      </c>
      <c r="P20" s="9">
        <v>1.8928313315208039E-2</v>
      </c>
      <c r="Q20" s="8">
        <v>-55</v>
      </c>
    </row>
    <row r="21" spans="1:17" x14ac:dyDescent="0.25">
      <c r="A21" s="11">
        <v>45658</v>
      </c>
      <c r="B21" s="7">
        <v>2057</v>
      </c>
      <c r="C21" s="8">
        <v>2057</v>
      </c>
      <c r="E21" s="5" t="s">
        <v>61</v>
      </c>
      <c r="F21" s="7">
        <v>-45</v>
      </c>
      <c r="G21" s="8">
        <v>-45</v>
      </c>
      <c r="I21" s="5" t="s">
        <v>61</v>
      </c>
      <c r="J21" s="7">
        <v>-45</v>
      </c>
      <c r="K21" s="8">
        <v>-45</v>
      </c>
      <c r="N21" s="6" t="s">
        <v>16</v>
      </c>
      <c r="O21" s="7">
        <v>-12.5</v>
      </c>
      <c r="P21" s="9">
        <v>4.3018893898200093E-3</v>
      </c>
      <c r="Q21" s="8">
        <v>-12.5</v>
      </c>
    </row>
    <row r="22" spans="1:17" x14ac:dyDescent="0.25">
      <c r="A22" s="11">
        <v>45748</v>
      </c>
      <c r="B22" s="7">
        <v>4000</v>
      </c>
      <c r="C22" s="8">
        <v>4000</v>
      </c>
      <c r="E22" s="5" t="s">
        <v>63</v>
      </c>
      <c r="F22" s="7">
        <v>-88</v>
      </c>
      <c r="G22" s="8">
        <v>-88</v>
      </c>
      <c r="I22" s="5" t="s">
        <v>63</v>
      </c>
      <c r="J22" s="7">
        <v>-88</v>
      </c>
      <c r="K22" s="8">
        <v>-88</v>
      </c>
      <c r="N22" s="5" t="s">
        <v>80</v>
      </c>
      <c r="O22" s="7">
        <v>-2905.7</v>
      </c>
      <c r="P22" s="9">
        <v>1</v>
      </c>
      <c r="Q22" s="8">
        <v>-2905.7</v>
      </c>
    </row>
    <row r="23" spans="1:17" x14ac:dyDescent="0.25">
      <c r="A23" s="5" t="s">
        <v>80</v>
      </c>
      <c r="B23" s="7">
        <v>10172.5</v>
      </c>
      <c r="C23" s="8">
        <v>10172.5</v>
      </c>
      <c r="E23" s="5" t="s">
        <v>67</v>
      </c>
      <c r="F23" s="7">
        <v>-80.7</v>
      </c>
      <c r="G23" s="8">
        <v>-80.7</v>
      </c>
      <c r="I23" s="5" t="s">
        <v>65</v>
      </c>
      <c r="J23" s="7">
        <v>3500</v>
      </c>
      <c r="K23" s="8">
        <v>3500</v>
      </c>
    </row>
    <row r="24" spans="1:17" x14ac:dyDescent="0.25">
      <c r="E24" s="5" t="s">
        <v>72</v>
      </c>
      <c r="F24" s="7">
        <v>-65</v>
      </c>
      <c r="G24" s="8">
        <v>-65</v>
      </c>
      <c r="I24" s="5" t="s">
        <v>67</v>
      </c>
      <c r="J24" s="7">
        <v>-80.7</v>
      </c>
      <c r="K24" s="8">
        <v>-80.7</v>
      </c>
    </row>
    <row r="25" spans="1:17" x14ac:dyDescent="0.25">
      <c r="E25" s="5" t="s">
        <v>74</v>
      </c>
      <c r="F25" s="7">
        <v>-95</v>
      </c>
      <c r="G25" s="8">
        <v>-95</v>
      </c>
      <c r="I25" s="5" t="s">
        <v>70</v>
      </c>
      <c r="J25" s="7">
        <v>115.5</v>
      </c>
      <c r="K25" s="8">
        <v>115.5</v>
      </c>
    </row>
    <row r="26" spans="1:17" x14ac:dyDescent="0.25">
      <c r="E26" s="5" t="s">
        <v>76</v>
      </c>
      <c r="F26" s="7">
        <v>-1200</v>
      </c>
      <c r="G26" s="8">
        <v>-1200</v>
      </c>
      <c r="I26" s="5" t="s">
        <v>72</v>
      </c>
      <c r="J26" s="7">
        <v>-65</v>
      </c>
      <c r="K26" s="8">
        <v>-65</v>
      </c>
    </row>
    <row r="27" spans="1:17" x14ac:dyDescent="0.25">
      <c r="E27" s="11">
        <v>45658</v>
      </c>
      <c r="F27" s="7">
        <v>35</v>
      </c>
      <c r="G27" s="8">
        <v>35</v>
      </c>
      <c r="I27" s="5" t="s">
        <v>74</v>
      </c>
      <c r="J27" s="7">
        <v>-95</v>
      </c>
      <c r="K27" s="8">
        <v>-95</v>
      </c>
    </row>
    <row r="28" spans="1:17" x14ac:dyDescent="0.25">
      <c r="E28" s="11">
        <v>45748</v>
      </c>
      <c r="F28" s="7">
        <v>-5</v>
      </c>
      <c r="G28" s="8">
        <v>-5</v>
      </c>
      <c r="I28" s="5" t="s">
        <v>76</v>
      </c>
      <c r="J28" s="7">
        <v>-1200</v>
      </c>
      <c r="K28" s="8">
        <v>-1200</v>
      </c>
    </row>
    <row r="29" spans="1:17" x14ac:dyDescent="0.25">
      <c r="E29" s="11">
        <v>45778</v>
      </c>
      <c r="F29" s="7">
        <v>-1055</v>
      </c>
      <c r="G29" s="8">
        <v>-1055</v>
      </c>
      <c r="I29" s="5" t="s">
        <v>78</v>
      </c>
      <c r="J29" s="7">
        <v>500</v>
      </c>
      <c r="K29" s="8">
        <v>500</v>
      </c>
    </row>
    <row r="30" spans="1:17" x14ac:dyDescent="0.25">
      <c r="E30" s="11">
        <v>45809</v>
      </c>
      <c r="F30" s="7">
        <v>-5</v>
      </c>
      <c r="G30" s="8">
        <v>-5</v>
      </c>
      <c r="I30" s="11">
        <v>45658</v>
      </c>
      <c r="J30" s="7">
        <v>2092</v>
      </c>
      <c r="K30" s="8">
        <v>2092</v>
      </c>
    </row>
    <row r="31" spans="1:17" x14ac:dyDescent="0.25">
      <c r="E31" s="11">
        <v>45839</v>
      </c>
      <c r="F31" s="7">
        <v>-5</v>
      </c>
      <c r="G31" s="8">
        <v>-5</v>
      </c>
      <c r="I31" s="11">
        <v>45748</v>
      </c>
      <c r="J31" s="7">
        <v>3995</v>
      </c>
      <c r="K31" s="8">
        <v>3995</v>
      </c>
    </row>
    <row r="32" spans="1:17" x14ac:dyDescent="0.25">
      <c r="E32" s="11">
        <v>45870</v>
      </c>
      <c r="F32" s="7">
        <v>-160</v>
      </c>
      <c r="G32" s="8">
        <v>-160</v>
      </c>
      <c r="I32" s="11">
        <v>45778</v>
      </c>
      <c r="J32" s="7">
        <v>-1055</v>
      </c>
      <c r="K32" s="8">
        <v>-1055</v>
      </c>
    </row>
    <row r="33" spans="5:11" x14ac:dyDescent="0.25">
      <c r="E33" s="11">
        <v>45962</v>
      </c>
      <c r="F33" s="7">
        <v>95</v>
      </c>
      <c r="G33" s="8">
        <v>95</v>
      </c>
      <c r="I33" s="11">
        <v>45809</v>
      </c>
      <c r="J33" s="7">
        <v>-5</v>
      </c>
      <c r="K33" s="8">
        <v>-5</v>
      </c>
    </row>
    <row r="34" spans="5:11" x14ac:dyDescent="0.25">
      <c r="E34" s="11">
        <v>45992</v>
      </c>
      <c r="F34" s="7">
        <v>-5</v>
      </c>
      <c r="G34" s="8">
        <v>-5</v>
      </c>
      <c r="I34" s="11">
        <v>45839</v>
      </c>
      <c r="J34" s="7">
        <v>-5</v>
      </c>
      <c r="K34" s="8">
        <v>-5</v>
      </c>
    </row>
    <row r="35" spans="5:11" x14ac:dyDescent="0.25">
      <c r="E35" s="5" t="s">
        <v>80</v>
      </c>
      <c r="F35" s="7">
        <v>-2905.7</v>
      </c>
      <c r="G35" s="8">
        <v>-2905.7</v>
      </c>
      <c r="I35" s="11">
        <v>45870</v>
      </c>
      <c r="J35" s="7">
        <v>-160</v>
      </c>
      <c r="K35" s="8">
        <v>-160</v>
      </c>
    </row>
    <row r="36" spans="5:11" x14ac:dyDescent="0.25">
      <c r="I36" s="11">
        <v>45962</v>
      </c>
      <c r="J36" s="7">
        <v>95</v>
      </c>
      <c r="K36" s="8">
        <v>95</v>
      </c>
    </row>
    <row r="37" spans="5:11" x14ac:dyDescent="0.25">
      <c r="I37" s="11">
        <v>45992</v>
      </c>
      <c r="J37" s="7">
        <v>-5</v>
      </c>
      <c r="K37" s="8">
        <v>-5</v>
      </c>
    </row>
    <row r="38" spans="5:11" x14ac:dyDescent="0.25">
      <c r="I38" s="5" t="s">
        <v>80</v>
      </c>
      <c r="J38" s="7">
        <v>7266.7999999999993</v>
      </c>
      <c r="K38" s="8">
        <v>7266.7999999999993</v>
      </c>
    </row>
  </sheetData>
  <conditionalFormatting pivot="1" sqref="G10:G11 G8">
    <cfRule type="dataBar" priority="9">
      <dataBar>
        <cfvo type="min"/>
        <cfvo type="max"/>
        <color rgb="FF00B050"/>
      </dataBar>
      <extLst>
        <ext xmlns:x14="http://schemas.microsoft.com/office/spreadsheetml/2009/9/main" uri="{B025F937-C7B1-47D3-B67F-A62EFF666E3E}">
          <x14:id>{B542AC96-F91F-425D-B02F-757A020DD17B}</x14:id>
        </ext>
      </extLst>
    </cfRule>
  </conditionalFormatting>
  <conditionalFormatting pivot="1" sqref="L7:L11">
    <cfRule type="dataBar" priority="7">
      <dataBar>
        <cfvo type="min"/>
        <cfvo type="max"/>
        <color rgb="FF638EC6"/>
      </dataBar>
      <extLst>
        <ext xmlns:x14="http://schemas.microsoft.com/office/spreadsheetml/2009/9/main" uri="{B025F937-C7B1-47D3-B67F-A62EFF666E3E}">
          <x14:id>{CCA791D3-D6BF-4902-AA89-BFCA7FE24C8A}</x14:id>
        </ext>
      </extLst>
    </cfRule>
  </conditionalFormatting>
  <conditionalFormatting pivot="1" sqref="Q8:Q10 Q12:Q13 Q15:Q16 Q18 Q20:Q21">
    <cfRule type="dataBar" priority="5">
      <dataBar>
        <cfvo type="min"/>
        <cfvo type="max"/>
        <color rgb="FF638EC6"/>
      </dataBar>
      <extLst>
        <ext xmlns:x14="http://schemas.microsoft.com/office/spreadsheetml/2009/9/main" uri="{B025F937-C7B1-47D3-B67F-A62EFF666E3E}">
          <x14:id>{10741925-5187-4CA6-AC86-2CEE7AAD90A3}</x14:id>
        </ext>
      </extLst>
    </cfRule>
  </conditionalFormatting>
  <conditionalFormatting pivot="1" sqref="C18:C22">
    <cfRule type="dataBar" priority="3">
      <dataBar>
        <cfvo type="min"/>
        <cfvo type="max"/>
        <color rgb="FF00B050"/>
      </dataBar>
      <extLst>
        <ext xmlns:x14="http://schemas.microsoft.com/office/spreadsheetml/2009/9/main" uri="{B025F937-C7B1-47D3-B67F-A62EFF666E3E}">
          <x14:id>{6568220C-936E-4728-B02B-396F0E7C8AD1}</x14:id>
        </ext>
      </extLst>
    </cfRule>
  </conditionalFormatting>
  <conditionalFormatting pivot="1" sqref="G18:G34">
    <cfRule type="dataBar" priority="2">
      <dataBar>
        <cfvo type="min"/>
        <cfvo type="max"/>
        <color rgb="FF00B050"/>
      </dataBar>
      <extLst>
        <ext xmlns:x14="http://schemas.microsoft.com/office/spreadsheetml/2009/9/main" uri="{B025F937-C7B1-47D3-B67F-A62EFF666E3E}">
          <x14:id>{5967E4C6-7C9A-4038-83DE-8AFF89D83904}</x14:id>
        </ext>
      </extLst>
    </cfRule>
  </conditionalFormatting>
  <conditionalFormatting pivot="1" sqref="K18:K37">
    <cfRule type="dataBar" priority="1">
      <dataBar>
        <cfvo type="min"/>
        <cfvo type="max"/>
        <color rgb="FF00B050"/>
      </dataBar>
      <extLst>
        <ext xmlns:x14="http://schemas.microsoft.com/office/spreadsheetml/2009/9/main" uri="{B025F937-C7B1-47D3-B67F-A62EFF666E3E}">
          <x14:id>{D34B8566-6381-46D9-84A6-51DBBB72238F}</x14:id>
        </ext>
      </extLst>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pivot="1">
          <x14:cfRule type="dataBar" id="{B542AC96-F91F-425D-B02F-757A020DD17B}">
            <x14:dataBar minLength="0" maxLength="100" gradient="0">
              <x14:cfvo type="autoMin"/>
              <x14:cfvo type="autoMax"/>
              <x14:negativeFillColor rgb="FFFF0000"/>
              <x14:axisColor rgb="FF000000"/>
            </x14:dataBar>
          </x14:cfRule>
          <xm:sqref>G10:G11 G8</xm:sqref>
        </x14:conditionalFormatting>
        <x14:conditionalFormatting xmlns:xm="http://schemas.microsoft.com/office/excel/2006/main" pivot="1">
          <x14:cfRule type="dataBar" id="{CCA791D3-D6BF-4902-AA89-BFCA7FE24C8A}">
            <x14:dataBar minLength="0" maxLength="100" gradient="0" direction="rightToLeft">
              <x14:cfvo type="autoMin"/>
              <x14:cfvo type="autoMax"/>
              <x14:negativeFillColor rgb="FFFF3300"/>
              <x14:axisColor rgb="FF000000"/>
            </x14:dataBar>
          </x14:cfRule>
          <xm:sqref>L7:L11</xm:sqref>
        </x14:conditionalFormatting>
        <x14:conditionalFormatting xmlns:xm="http://schemas.microsoft.com/office/excel/2006/main" pivot="1">
          <x14:cfRule type="dataBar" id="{10741925-5187-4CA6-AC86-2CEE7AAD90A3}">
            <x14:dataBar minLength="0" maxLength="100" gradient="0" direction="rightToLeft">
              <x14:cfvo type="autoMin"/>
              <x14:cfvo type="autoMax"/>
              <x14:negativeFillColor rgb="FFFF3300"/>
              <x14:axisColor rgb="FF000000"/>
            </x14:dataBar>
          </x14:cfRule>
          <xm:sqref>Q8:Q10 Q12:Q13 Q15:Q16 Q18 Q20:Q21</xm:sqref>
        </x14:conditionalFormatting>
        <x14:conditionalFormatting xmlns:xm="http://schemas.microsoft.com/office/excel/2006/main" pivot="1">
          <x14:cfRule type="dataBar" id="{6568220C-936E-4728-B02B-396F0E7C8AD1}">
            <x14:dataBar minLength="0" maxLength="100" gradient="0">
              <x14:cfvo type="autoMin"/>
              <x14:cfvo type="autoMax"/>
              <x14:negativeFillColor rgb="FFFF0000"/>
              <x14:axisColor rgb="FF000000"/>
            </x14:dataBar>
          </x14:cfRule>
          <xm:sqref>C18:C22</xm:sqref>
        </x14:conditionalFormatting>
        <x14:conditionalFormatting xmlns:xm="http://schemas.microsoft.com/office/excel/2006/main" pivot="1">
          <x14:cfRule type="dataBar" id="{5967E4C6-7C9A-4038-83DE-8AFF89D83904}">
            <x14:dataBar minLength="0" maxLength="100" gradient="0" direction="rightToLeft">
              <x14:cfvo type="autoMin"/>
              <x14:cfvo type="autoMax"/>
              <x14:negativeFillColor rgb="FFFF0000"/>
              <x14:axisColor rgb="FF000000"/>
            </x14:dataBar>
          </x14:cfRule>
          <xm:sqref>G18:G34</xm:sqref>
        </x14:conditionalFormatting>
        <x14:conditionalFormatting xmlns:xm="http://schemas.microsoft.com/office/excel/2006/main" pivot="1">
          <x14:cfRule type="dataBar" id="{D34B8566-6381-46D9-84A6-51DBBB72238F}">
            <x14:dataBar minLength="0" maxLength="100" gradient="0">
              <x14:cfvo type="autoMin"/>
              <x14:cfvo type="autoMax"/>
              <x14:negativeFillColor rgb="FFFF0000"/>
              <x14:axisColor rgb="FF000000"/>
            </x14:dataBar>
          </x14:cfRule>
          <xm:sqref>K18:K37</xm:sqref>
        </x14:conditionalFormatting>
      </x14:conditionalFormattings>
    </ex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CDD21-52AB-4388-B9EA-22607F6E6FFB}">
  <dimension ref="A1:I32"/>
  <sheetViews>
    <sheetView topLeftCell="A2" workbookViewId="0">
      <selection activeCell="F4" sqref="F4"/>
    </sheetView>
  </sheetViews>
  <sheetFormatPr defaultRowHeight="15" x14ac:dyDescent="0.25"/>
  <cols>
    <col min="1" max="1" width="10.28515625" customWidth="1"/>
    <col min="2" max="2" width="10.7109375" bestFit="1" customWidth="1"/>
    <col min="3" max="3" width="21.7109375" bestFit="1" customWidth="1"/>
    <col min="4" max="4" width="15.42578125" customWidth="1"/>
    <col min="5" max="5" width="17" customWidth="1"/>
    <col min="6" max="6" width="19.42578125" customWidth="1"/>
    <col min="7" max="7" width="15.85546875" bestFit="1" customWidth="1"/>
    <col min="8" max="8" width="16" bestFit="1" customWidth="1"/>
    <col min="9" max="9" width="15.7109375" customWidth="1"/>
  </cols>
  <sheetData>
    <row r="1" spans="1:9" x14ac:dyDescent="0.25">
      <c r="A1" t="s">
        <v>39</v>
      </c>
      <c r="B1" t="s">
        <v>40</v>
      </c>
      <c r="C1" t="s">
        <v>41</v>
      </c>
      <c r="D1" t="s">
        <v>42</v>
      </c>
      <c r="E1" t="s">
        <v>43</v>
      </c>
      <c r="F1" t="s">
        <v>44</v>
      </c>
      <c r="G1" t="s">
        <v>1</v>
      </c>
      <c r="H1" t="s">
        <v>0</v>
      </c>
      <c r="I1" t="s">
        <v>45</v>
      </c>
    </row>
    <row r="2" spans="1:9" x14ac:dyDescent="0.25">
      <c r="A2" t="s">
        <v>46</v>
      </c>
      <c r="B2" s="2">
        <v>45658</v>
      </c>
      <c r="C2" t="s">
        <v>47</v>
      </c>
      <c r="E2">
        <v>35</v>
      </c>
      <c r="F2">
        <f>Table2[[#This Row],[Credit (Income)]]-Table2[[#This Row],[Debit (Spend)]]</f>
        <v>35</v>
      </c>
      <c r="G2" t="s">
        <v>13</v>
      </c>
      <c r="H2" t="str">
        <f>VLOOKUP(Table2[[#This Row],[Subcategory]],Categories[#All],2,0)</f>
        <v>Debt Repayment</v>
      </c>
      <c r="I2" t="str">
        <f>VLOOKUP(Table2[[#This Row],[Subcategory]],Categories[#All],3,0)</f>
        <v>Expense</v>
      </c>
    </row>
    <row r="3" spans="1:9" x14ac:dyDescent="0.25">
      <c r="A3" t="s">
        <v>48</v>
      </c>
      <c r="B3" s="2">
        <v>45658</v>
      </c>
      <c r="C3" t="s">
        <v>49</v>
      </c>
      <c r="D3">
        <v>100</v>
      </c>
      <c r="F3">
        <f>Table2[[#This Row],[Credit (Income)]]-Table2[[#This Row],[Debit (Spend)]]</f>
        <v>-100</v>
      </c>
      <c r="G3" t="s">
        <v>29</v>
      </c>
      <c r="H3" t="str">
        <f>VLOOKUP(Table2[[#This Row],[Subcategory]],Categories[#All],2,0)</f>
        <v>Transfer</v>
      </c>
      <c r="I3" t="str">
        <f>VLOOKUP(Table2[[#This Row],[Subcategory]],Categories[#All],3,0)</f>
        <v>Not Reported</v>
      </c>
    </row>
    <row r="4" spans="1:9" x14ac:dyDescent="0.25">
      <c r="A4" t="s">
        <v>46</v>
      </c>
      <c r="B4" s="2">
        <v>45658</v>
      </c>
      <c r="C4" t="s">
        <v>34</v>
      </c>
      <c r="E4" s="3">
        <v>2057</v>
      </c>
      <c r="F4">
        <f>Table2[[#This Row],[Credit (Income)]]-Table2[[#This Row],[Debit (Spend)]]</f>
        <v>2057</v>
      </c>
      <c r="G4" t="s">
        <v>34</v>
      </c>
      <c r="H4" t="str">
        <f>VLOOKUP(Table2[[#This Row],[Subcategory]],Categories[#All],2,0)</f>
        <v>Variable</v>
      </c>
      <c r="I4" t="str">
        <f>VLOOKUP(Table2[[#This Row],[Subcategory]],Categories[#All],3,0)</f>
        <v>Income</v>
      </c>
    </row>
    <row r="5" spans="1:9" x14ac:dyDescent="0.25">
      <c r="A5" t="s">
        <v>48</v>
      </c>
      <c r="B5" s="2">
        <v>45748</v>
      </c>
      <c r="C5" t="s">
        <v>50</v>
      </c>
      <c r="E5" s="3">
        <v>4000</v>
      </c>
      <c r="F5">
        <f>Table2[[#This Row],[Credit (Income)]]-Table2[[#This Row],[Debit (Spend)]]</f>
        <v>4000</v>
      </c>
      <c r="G5" t="s">
        <v>22</v>
      </c>
      <c r="H5" t="str">
        <f>VLOOKUP(Table2[[#This Row],[Subcategory]],Categories[#All],2,0)</f>
        <v>Fixed</v>
      </c>
      <c r="I5" t="str">
        <f>VLOOKUP(Table2[[#This Row],[Subcategory]],Categories[#All],3,0)</f>
        <v>Income</v>
      </c>
    </row>
    <row r="6" spans="1:9" x14ac:dyDescent="0.25">
      <c r="A6" t="s">
        <v>51</v>
      </c>
      <c r="B6" s="2">
        <v>45748</v>
      </c>
      <c r="C6" t="s">
        <v>52</v>
      </c>
      <c r="D6">
        <v>5</v>
      </c>
      <c r="F6">
        <f>Table2[[#This Row],[Credit (Income)]]-Table2[[#This Row],[Debit (Spend)]]</f>
        <v>-5</v>
      </c>
      <c r="G6" t="s">
        <v>15</v>
      </c>
      <c r="H6" t="str">
        <f>VLOOKUP(Table2[[#This Row],[Subcategory]],Categories[#All],2,0)</f>
        <v>Dining Out</v>
      </c>
      <c r="I6" t="str">
        <f>VLOOKUP(Table2[[#This Row],[Subcategory]],Categories[#All],3,0)</f>
        <v>Expense</v>
      </c>
    </row>
    <row r="7" spans="1:9" x14ac:dyDescent="0.25">
      <c r="A7" t="s">
        <v>48</v>
      </c>
      <c r="B7" s="2">
        <v>45778</v>
      </c>
      <c r="C7" t="s">
        <v>53</v>
      </c>
      <c r="D7">
        <v>900</v>
      </c>
      <c r="F7">
        <f>Table2[[#This Row],[Credit (Income)]]-Table2[[#This Row],[Debit (Spend)]]</f>
        <v>-900</v>
      </c>
      <c r="G7" t="s">
        <v>26</v>
      </c>
      <c r="H7" t="str">
        <f>VLOOKUP(Table2[[#This Row],[Subcategory]],Categories[#All],2,0)</f>
        <v>Living Expenses</v>
      </c>
      <c r="I7" t="str">
        <f>VLOOKUP(Table2[[#This Row],[Subcategory]],Categories[#All],3,0)</f>
        <v>Expense</v>
      </c>
    </row>
    <row r="8" spans="1:9" x14ac:dyDescent="0.25">
      <c r="A8" t="s">
        <v>48</v>
      </c>
      <c r="B8" s="2">
        <v>45778</v>
      </c>
      <c r="C8" t="s">
        <v>54</v>
      </c>
      <c r="D8">
        <v>150</v>
      </c>
      <c r="F8">
        <f>Table2[[#This Row],[Credit (Income)]]-Table2[[#This Row],[Debit (Spend)]]</f>
        <v>-150</v>
      </c>
      <c r="G8" t="s">
        <v>14</v>
      </c>
      <c r="H8" t="str">
        <f>VLOOKUP(Table2[[#This Row],[Subcategory]],Categories[#All],2,0)</f>
        <v>Debt Repayment</v>
      </c>
      <c r="I8" t="str">
        <f>VLOOKUP(Table2[[#This Row],[Subcategory]],Categories[#All],3,0)</f>
        <v>Expense</v>
      </c>
    </row>
    <row r="9" spans="1:9" x14ac:dyDescent="0.25">
      <c r="A9" t="s">
        <v>51</v>
      </c>
      <c r="B9" s="2">
        <v>45778</v>
      </c>
      <c r="C9" t="s">
        <v>52</v>
      </c>
      <c r="D9">
        <v>5</v>
      </c>
      <c r="F9">
        <f>Table2[[#This Row],[Credit (Income)]]-Table2[[#This Row],[Debit (Spend)]]</f>
        <v>-5</v>
      </c>
      <c r="G9" t="s">
        <v>15</v>
      </c>
      <c r="H9" t="str">
        <f>VLOOKUP(Table2[[#This Row],[Subcategory]],Categories[#All],2,0)</f>
        <v>Dining Out</v>
      </c>
      <c r="I9" t="str">
        <f>VLOOKUP(Table2[[#This Row],[Subcategory]],Categories[#All],3,0)</f>
        <v>Expense</v>
      </c>
    </row>
    <row r="10" spans="1:9" x14ac:dyDescent="0.25">
      <c r="A10" t="s">
        <v>51</v>
      </c>
      <c r="B10" s="2">
        <v>45809</v>
      </c>
      <c r="C10" t="s">
        <v>52</v>
      </c>
      <c r="D10">
        <v>5</v>
      </c>
      <c r="F10">
        <f>Table2[[#This Row],[Credit (Income)]]-Table2[[#This Row],[Debit (Spend)]]</f>
        <v>-5</v>
      </c>
      <c r="G10" t="s">
        <v>15</v>
      </c>
      <c r="H10" t="str">
        <f>VLOOKUP(Table2[[#This Row],[Subcategory]],Categories[#All],2,0)</f>
        <v>Dining Out</v>
      </c>
      <c r="I10" t="str">
        <f>VLOOKUP(Table2[[#This Row],[Subcategory]],Categories[#All],3,0)</f>
        <v>Expense</v>
      </c>
    </row>
    <row r="11" spans="1:9" x14ac:dyDescent="0.25">
      <c r="A11" t="s">
        <v>51</v>
      </c>
      <c r="B11" s="2">
        <v>45839</v>
      </c>
      <c r="C11" t="s">
        <v>52</v>
      </c>
      <c r="D11">
        <v>5</v>
      </c>
      <c r="F11">
        <f>Table2[[#This Row],[Credit (Income)]]-Table2[[#This Row],[Debit (Spend)]]</f>
        <v>-5</v>
      </c>
      <c r="G11" t="s">
        <v>15</v>
      </c>
      <c r="H11" t="str">
        <f>VLOOKUP(Table2[[#This Row],[Subcategory]],Categories[#All],2,0)</f>
        <v>Dining Out</v>
      </c>
      <c r="I11" t="str">
        <f>VLOOKUP(Table2[[#This Row],[Subcategory]],Categories[#All],3,0)</f>
        <v>Expense</v>
      </c>
    </row>
    <row r="12" spans="1:9" x14ac:dyDescent="0.25">
      <c r="A12" t="s">
        <v>51</v>
      </c>
      <c r="B12" s="2">
        <v>45870</v>
      </c>
      <c r="C12" t="s">
        <v>52</v>
      </c>
      <c r="D12">
        <v>5</v>
      </c>
      <c r="F12">
        <f>Table2[[#This Row],[Credit (Income)]]-Table2[[#This Row],[Debit (Spend)]]</f>
        <v>-5</v>
      </c>
      <c r="G12" t="s">
        <v>15</v>
      </c>
      <c r="H12" t="str">
        <f>VLOOKUP(Table2[[#This Row],[Subcategory]],Categories[#All],2,0)</f>
        <v>Dining Out</v>
      </c>
      <c r="I12" t="str">
        <f>VLOOKUP(Table2[[#This Row],[Subcategory]],Categories[#All],3,0)</f>
        <v>Expense</v>
      </c>
    </row>
    <row r="13" spans="1:9" x14ac:dyDescent="0.25">
      <c r="A13" t="s">
        <v>51</v>
      </c>
      <c r="B13" s="2">
        <v>45870</v>
      </c>
      <c r="C13" t="s">
        <v>55</v>
      </c>
      <c r="D13">
        <v>155</v>
      </c>
      <c r="F13">
        <f>Table2[[#This Row],[Credit (Income)]]-Table2[[#This Row],[Debit (Spend)]]</f>
        <v>-155</v>
      </c>
      <c r="G13" t="s">
        <v>24</v>
      </c>
      <c r="H13" t="str">
        <f>VLOOKUP(Table2[[#This Row],[Subcategory]],Categories[#All],2,0)</f>
        <v>Living Expenses</v>
      </c>
      <c r="I13" t="str">
        <f>VLOOKUP(Table2[[#This Row],[Subcategory]],Categories[#All],3,0)</f>
        <v>Expense</v>
      </c>
    </row>
    <row r="14" spans="1:9" x14ac:dyDescent="0.25">
      <c r="A14" t="s">
        <v>48</v>
      </c>
      <c r="B14" s="2">
        <v>45962</v>
      </c>
      <c r="C14" t="s">
        <v>56</v>
      </c>
      <c r="E14">
        <v>100</v>
      </c>
      <c r="F14">
        <f>Table2[[#This Row],[Credit (Income)]]-Table2[[#This Row],[Debit (Spend)]]</f>
        <v>100</v>
      </c>
      <c r="G14" t="s">
        <v>23</v>
      </c>
      <c r="H14" t="str">
        <f>VLOOKUP(Table2[[#This Row],[Subcategory]],Categories[#All],2,0)</f>
        <v>Living Expenses</v>
      </c>
      <c r="I14" t="str">
        <f>VLOOKUP(Table2[[#This Row],[Subcategory]],Categories[#All],3,0)</f>
        <v>Expense</v>
      </c>
    </row>
    <row r="15" spans="1:9" x14ac:dyDescent="0.25">
      <c r="A15" t="s">
        <v>51</v>
      </c>
      <c r="B15" s="2">
        <v>45962</v>
      </c>
      <c r="C15" t="s">
        <v>52</v>
      </c>
      <c r="D15">
        <v>5</v>
      </c>
      <c r="F15">
        <f>Table2[[#This Row],[Credit (Income)]]-Table2[[#This Row],[Debit (Spend)]]</f>
        <v>-5</v>
      </c>
      <c r="G15" t="s">
        <v>15</v>
      </c>
      <c r="H15" t="str">
        <f>VLOOKUP(Table2[[#This Row],[Subcategory]],Categories[#All],2,0)</f>
        <v>Dining Out</v>
      </c>
      <c r="I15" t="str">
        <f>VLOOKUP(Table2[[#This Row],[Subcategory]],Categories[#All],3,0)</f>
        <v>Expense</v>
      </c>
    </row>
    <row r="16" spans="1:9" x14ac:dyDescent="0.25">
      <c r="A16" t="s">
        <v>51</v>
      </c>
      <c r="B16" s="2">
        <v>45992</v>
      </c>
      <c r="C16" t="s">
        <v>52</v>
      </c>
      <c r="D16">
        <v>5</v>
      </c>
      <c r="F16">
        <f>Table2[[#This Row],[Credit (Income)]]-Table2[[#This Row],[Debit (Spend)]]</f>
        <v>-5</v>
      </c>
      <c r="G16" t="s">
        <v>15</v>
      </c>
      <c r="H16" t="str">
        <f>VLOOKUP(Table2[[#This Row],[Subcategory]],Categories[#All],2,0)</f>
        <v>Dining Out</v>
      </c>
      <c r="I16" t="str">
        <f>VLOOKUP(Table2[[#This Row],[Subcategory]],Categories[#All],3,0)</f>
        <v>Expense</v>
      </c>
    </row>
    <row r="17" spans="1:9" x14ac:dyDescent="0.25">
      <c r="A17" t="s">
        <v>51</v>
      </c>
      <c r="B17" t="s">
        <v>57</v>
      </c>
      <c r="C17" t="s">
        <v>58</v>
      </c>
      <c r="D17">
        <v>77</v>
      </c>
      <c r="F17">
        <f>Table2[[#This Row],[Credit (Income)]]-Table2[[#This Row],[Debit (Spend)]]</f>
        <v>-77</v>
      </c>
      <c r="G17" t="s">
        <v>30</v>
      </c>
      <c r="H17" t="str">
        <f>VLOOKUP(Table2[[#This Row],[Subcategory]],Categories[#All],2,0)</f>
        <v>Transport</v>
      </c>
      <c r="I17" t="str">
        <f>VLOOKUP(Table2[[#This Row],[Subcategory]],Categories[#All],3,0)</f>
        <v>Expense</v>
      </c>
    </row>
    <row r="18" spans="1:9" x14ac:dyDescent="0.25">
      <c r="A18" t="s">
        <v>51</v>
      </c>
      <c r="B18" t="s">
        <v>57</v>
      </c>
      <c r="C18" t="s">
        <v>52</v>
      </c>
      <c r="D18">
        <v>5</v>
      </c>
      <c r="F18">
        <f>Table2[[#This Row],[Credit (Income)]]-Table2[[#This Row],[Debit (Spend)]]</f>
        <v>-5</v>
      </c>
      <c r="G18" t="s">
        <v>15</v>
      </c>
      <c r="H18" t="str">
        <f>VLOOKUP(Table2[[#This Row],[Subcategory]],Categories[#All],2,0)</f>
        <v>Dining Out</v>
      </c>
      <c r="I18" t="str">
        <f>VLOOKUP(Table2[[#This Row],[Subcategory]],Categories[#All],3,0)</f>
        <v>Expense</v>
      </c>
    </row>
    <row r="19" spans="1:9" x14ac:dyDescent="0.25">
      <c r="A19" t="s">
        <v>51</v>
      </c>
      <c r="B19" t="s">
        <v>59</v>
      </c>
      <c r="C19" t="s">
        <v>52</v>
      </c>
      <c r="D19">
        <v>5</v>
      </c>
      <c r="F19">
        <f>Table2[[#This Row],[Credit (Income)]]-Table2[[#This Row],[Debit (Spend)]]</f>
        <v>-5</v>
      </c>
      <c r="G19" t="s">
        <v>15</v>
      </c>
      <c r="H19" t="str">
        <f>VLOOKUP(Table2[[#This Row],[Subcategory]],Categories[#All],2,0)</f>
        <v>Dining Out</v>
      </c>
      <c r="I19" t="str">
        <f>VLOOKUP(Table2[[#This Row],[Subcategory]],Categories[#All],3,0)</f>
        <v>Expense</v>
      </c>
    </row>
    <row r="20" spans="1:9" x14ac:dyDescent="0.25">
      <c r="A20" t="s">
        <v>51</v>
      </c>
      <c r="B20" t="s">
        <v>60</v>
      </c>
      <c r="C20" t="s">
        <v>55</v>
      </c>
      <c r="D20">
        <v>135</v>
      </c>
      <c r="F20">
        <f>Table2[[#This Row],[Credit (Income)]]-Table2[[#This Row],[Debit (Spend)]]</f>
        <v>-135</v>
      </c>
      <c r="G20" t="s">
        <v>24</v>
      </c>
      <c r="H20" t="str">
        <f>VLOOKUP(Table2[[#This Row],[Subcategory]],Categories[#All],2,0)</f>
        <v>Living Expenses</v>
      </c>
      <c r="I20" t="str">
        <f>VLOOKUP(Table2[[#This Row],[Subcategory]],Categories[#All],3,0)</f>
        <v>Expense</v>
      </c>
    </row>
    <row r="21" spans="1:9" x14ac:dyDescent="0.25">
      <c r="A21" t="s">
        <v>51</v>
      </c>
      <c r="B21" t="s">
        <v>60</v>
      </c>
      <c r="C21" t="s">
        <v>52</v>
      </c>
      <c r="D21">
        <v>5</v>
      </c>
      <c r="F21">
        <f>Table2[[#This Row],[Credit (Income)]]-Table2[[#This Row],[Debit (Spend)]]</f>
        <v>-5</v>
      </c>
      <c r="G21" t="s">
        <v>15</v>
      </c>
      <c r="H21" t="str">
        <f>VLOOKUP(Table2[[#This Row],[Subcategory]],Categories[#All],2,0)</f>
        <v>Dining Out</v>
      </c>
      <c r="I21" t="str">
        <f>VLOOKUP(Table2[[#This Row],[Subcategory]],Categories[#All],3,0)</f>
        <v>Expense</v>
      </c>
    </row>
    <row r="22" spans="1:9" x14ac:dyDescent="0.25">
      <c r="A22" t="s">
        <v>51</v>
      </c>
      <c r="B22" t="s">
        <v>61</v>
      </c>
      <c r="C22" t="s">
        <v>52</v>
      </c>
      <c r="D22">
        <v>5</v>
      </c>
      <c r="F22">
        <f>Table2[[#This Row],[Credit (Income)]]-Table2[[#This Row],[Debit (Spend)]]</f>
        <v>-5</v>
      </c>
      <c r="G22" t="s">
        <v>15</v>
      </c>
      <c r="H22" t="str">
        <f>VLOOKUP(Table2[[#This Row],[Subcategory]],Categories[#All],2,0)</f>
        <v>Dining Out</v>
      </c>
      <c r="I22" t="str">
        <f>VLOOKUP(Table2[[#This Row],[Subcategory]],Categories[#All],3,0)</f>
        <v>Expense</v>
      </c>
    </row>
    <row r="23" spans="1:9" x14ac:dyDescent="0.25">
      <c r="A23" t="s">
        <v>51</v>
      </c>
      <c r="B23" t="s">
        <v>61</v>
      </c>
      <c r="C23" t="s">
        <v>62</v>
      </c>
      <c r="D23">
        <v>40</v>
      </c>
      <c r="F23">
        <f>Table2[[#This Row],[Credit (Income)]]-Table2[[#This Row],[Debit (Spend)]]</f>
        <v>-40</v>
      </c>
      <c r="G23" t="s">
        <v>18</v>
      </c>
      <c r="H23" t="str">
        <f>VLOOKUP(Table2[[#This Row],[Subcategory]],Categories[#All],2,0)</f>
        <v>Discretionary</v>
      </c>
      <c r="I23" t="str">
        <f>VLOOKUP(Table2[[#This Row],[Subcategory]],Categories[#All],3,0)</f>
        <v>Expense</v>
      </c>
    </row>
    <row r="24" spans="1:9" x14ac:dyDescent="0.25">
      <c r="A24" t="s">
        <v>48</v>
      </c>
      <c r="B24" t="s">
        <v>63</v>
      </c>
      <c r="C24" t="s">
        <v>64</v>
      </c>
      <c r="D24">
        <v>88</v>
      </c>
      <c r="F24">
        <f>Table2[[#This Row],[Credit (Income)]]-Table2[[#This Row],[Debit (Spend)]]</f>
        <v>-88</v>
      </c>
      <c r="G24" t="s">
        <v>23</v>
      </c>
      <c r="H24" t="str">
        <f>VLOOKUP(Table2[[#This Row],[Subcategory]],Categories[#All],2,0)</f>
        <v>Living Expenses</v>
      </c>
      <c r="I24" t="str">
        <f>VLOOKUP(Table2[[#This Row],[Subcategory]],Categories[#All],3,0)</f>
        <v>Expense</v>
      </c>
    </row>
    <row r="25" spans="1:9" x14ac:dyDescent="0.25">
      <c r="A25" t="s">
        <v>48</v>
      </c>
      <c r="B25" t="s">
        <v>65</v>
      </c>
      <c r="C25" t="s">
        <v>66</v>
      </c>
      <c r="E25" s="3">
        <v>3500</v>
      </c>
      <c r="F25">
        <f>Table2[[#This Row],[Credit (Income)]]-Table2[[#This Row],[Debit (Spend)]]</f>
        <v>3500</v>
      </c>
      <c r="G25" t="s">
        <v>22</v>
      </c>
      <c r="H25" t="str">
        <f>VLOOKUP(Table2[[#This Row],[Subcategory]],Categories[#All],2,0)</f>
        <v>Fixed</v>
      </c>
      <c r="I25" t="str">
        <f>VLOOKUP(Table2[[#This Row],[Subcategory]],Categories[#All],3,0)</f>
        <v>Income</v>
      </c>
    </row>
    <row r="26" spans="1:9" x14ac:dyDescent="0.25">
      <c r="A26" t="s">
        <v>51</v>
      </c>
      <c r="B26" t="s">
        <v>67</v>
      </c>
      <c r="C26" t="s">
        <v>68</v>
      </c>
      <c r="D26">
        <v>12.5</v>
      </c>
      <c r="F26">
        <f>Table2[[#This Row],[Credit (Income)]]-Table2[[#This Row],[Debit (Spend)]]</f>
        <v>-12.5</v>
      </c>
      <c r="G26" t="s">
        <v>16</v>
      </c>
      <c r="H26" t="str">
        <f>VLOOKUP(Table2[[#This Row],[Subcategory]],Categories[#All],2,0)</f>
        <v>Dining Out</v>
      </c>
      <c r="I26" t="str">
        <f>VLOOKUP(Table2[[#This Row],[Subcategory]],Categories[#All],3,0)</f>
        <v>Expense</v>
      </c>
    </row>
    <row r="27" spans="1:9" x14ac:dyDescent="0.25">
      <c r="A27" t="s">
        <v>51</v>
      </c>
      <c r="B27" t="s">
        <v>67</v>
      </c>
      <c r="C27" t="s">
        <v>69</v>
      </c>
      <c r="D27">
        <v>68.2</v>
      </c>
      <c r="F27">
        <f>Table2[[#This Row],[Credit (Income)]]-Table2[[#This Row],[Debit (Spend)]]</f>
        <v>-68.2</v>
      </c>
      <c r="G27" t="s">
        <v>18</v>
      </c>
      <c r="H27" t="str">
        <f>VLOOKUP(Table2[[#This Row],[Subcategory]],Categories[#All],2,0)</f>
        <v>Discretionary</v>
      </c>
      <c r="I27" t="str">
        <f>VLOOKUP(Table2[[#This Row],[Subcategory]],Categories[#All],3,0)</f>
        <v>Expense</v>
      </c>
    </row>
    <row r="28" spans="1:9" x14ac:dyDescent="0.25">
      <c r="A28" t="s">
        <v>46</v>
      </c>
      <c r="B28" t="s">
        <v>70</v>
      </c>
      <c r="C28" t="s">
        <v>71</v>
      </c>
      <c r="E28">
        <v>115.5</v>
      </c>
      <c r="F28">
        <f>Table2[[#This Row],[Credit (Income)]]-Table2[[#This Row],[Debit (Spend)]]</f>
        <v>115.5</v>
      </c>
      <c r="G28" t="s">
        <v>32</v>
      </c>
      <c r="H28" t="str">
        <f>VLOOKUP(Table2[[#This Row],[Subcategory]],Categories[#All],2,0)</f>
        <v>Variable</v>
      </c>
      <c r="I28" t="str">
        <f>VLOOKUP(Table2[[#This Row],[Subcategory]],Categories[#All],3,0)</f>
        <v>Income</v>
      </c>
    </row>
    <row r="29" spans="1:9" x14ac:dyDescent="0.25">
      <c r="A29" t="s">
        <v>51</v>
      </c>
      <c r="B29" t="s">
        <v>72</v>
      </c>
      <c r="C29" t="s">
        <v>73</v>
      </c>
      <c r="D29">
        <v>65</v>
      </c>
      <c r="F29">
        <f>Table2[[#This Row],[Credit (Income)]]-Table2[[#This Row],[Debit (Spend)]]</f>
        <v>-65</v>
      </c>
      <c r="G29" t="s">
        <v>21</v>
      </c>
      <c r="H29" t="str">
        <f>VLOOKUP(Table2[[#This Row],[Subcategory]],Categories[#All],2,0)</f>
        <v>Discretionary</v>
      </c>
      <c r="I29" t="str">
        <f>VLOOKUP(Table2[[#This Row],[Subcategory]],Categories[#All],3,0)</f>
        <v>Expense</v>
      </c>
    </row>
    <row r="30" spans="1:9" x14ac:dyDescent="0.25">
      <c r="A30" t="s">
        <v>51</v>
      </c>
      <c r="B30" t="s">
        <v>74</v>
      </c>
      <c r="C30" t="s">
        <v>75</v>
      </c>
      <c r="D30">
        <v>95</v>
      </c>
      <c r="F30">
        <f>Table2[[#This Row],[Credit (Income)]]-Table2[[#This Row],[Debit (Spend)]]</f>
        <v>-95</v>
      </c>
      <c r="G30" t="s">
        <v>18</v>
      </c>
      <c r="H30" t="str">
        <f>VLOOKUP(Table2[[#This Row],[Subcategory]],Categories[#All],2,0)</f>
        <v>Discretionary</v>
      </c>
      <c r="I30" t="str">
        <f>VLOOKUP(Table2[[#This Row],[Subcategory]],Categories[#All],3,0)</f>
        <v>Expense</v>
      </c>
    </row>
    <row r="31" spans="1:9" x14ac:dyDescent="0.25">
      <c r="A31" t="s">
        <v>48</v>
      </c>
      <c r="B31" t="s">
        <v>76</v>
      </c>
      <c r="C31" t="s">
        <v>77</v>
      </c>
      <c r="D31" s="3">
        <v>1200</v>
      </c>
      <c r="F31">
        <f>Table2[[#This Row],[Credit (Income)]]-Table2[[#This Row],[Debit (Spend)]]</f>
        <v>-1200</v>
      </c>
      <c r="G31" t="s">
        <v>26</v>
      </c>
      <c r="H31" t="str">
        <f>VLOOKUP(Table2[[#This Row],[Subcategory]],Categories[#All],2,0)</f>
        <v>Living Expenses</v>
      </c>
      <c r="I31" t="str">
        <f>VLOOKUP(Table2[[#This Row],[Subcategory]],Categories[#All],3,0)</f>
        <v>Expense</v>
      </c>
    </row>
    <row r="32" spans="1:9" x14ac:dyDescent="0.25">
      <c r="A32" t="s">
        <v>46</v>
      </c>
      <c r="B32" t="s">
        <v>78</v>
      </c>
      <c r="C32" t="s">
        <v>79</v>
      </c>
      <c r="E32">
        <v>500</v>
      </c>
      <c r="F32">
        <f>Table2[[#This Row],[Credit (Income)]]-Table2[[#This Row],[Debit (Spend)]]</f>
        <v>500</v>
      </c>
      <c r="G32" t="s">
        <v>34</v>
      </c>
      <c r="H32" t="str">
        <f>VLOOKUP(Table2[[#This Row],[Subcategory]],Categories[#All],2,0)</f>
        <v>Variable</v>
      </c>
      <c r="I32" t="str">
        <f>VLOOKUP(Table2[[#This Row],[Subcategory]],Categories[#All],3,0)</f>
        <v>Income</v>
      </c>
    </row>
  </sheetData>
  <dataValidations count="1">
    <dataValidation type="list" allowBlank="1" showInputMessage="1" showErrorMessage="1" sqref="G1:G1048576" xr:uid="{57CCA0F6-E0CF-4892-A3F1-C09D70BBD003}">
      <formula1>Subcategories</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Sheet3</vt:lpstr>
      <vt:lpstr>Sheet2</vt:lpstr>
      <vt:lpstr>Subcategories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dhritiman baruah</dc:creator>
  <cp:lastModifiedBy>dhritiman baruah</cp:lastModifiedBy>
  <dcterms:created xsi:type="dcterms:W3CDTF">2015-06-05T18:17:20Z</dcterms:created>
  <dcterms:modified xsi:type="dcterms:W3CDTF">2026-03-23T10:20:17Z</dcterms:modified>
</cp:coreProperties>
</file>